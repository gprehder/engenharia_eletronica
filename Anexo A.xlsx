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ADM -POLI\CoC\Engenharia Eletrônica 2027\Ementas Oficial\"/>
    </mc:Choice>
  </mc:AlternateContent>
  <xr:revisionPtr revIDLastSave="0" documentId="8_{FD5AD460-24A3-4DF6-876B-17AD9F4CA7F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letronica_Sistemas" sheetId="1" r:id="rId1"/>
    <sheet name="Planilha1" sheetId="2" r:id="rId2"/>
  </sheets>
  <definedNames>
    <definedName name="_xlnm._FilterDatabase" localSheetId="1" hidden="1">Planilha1!$B$2:$E$2</definedName>
  </definedNames>
  <calcPr calcId="191029"/>
  <extLst>
    <ext uri="GoogleSheetsCustomDataVersion2">
      <go:sheetsCustomData xmlns:go="http://customooxmlschemas.google.com/" r:id="rId6" roundtripDataChecksum="9qEgNZkZp54+9F09JNfdnDMGUP1iwCmVhA5SVZKiNUs="/>
    </ext>
  </extLst>
</workbook>
</file>

<file path=xl/calcChain.xml><?xml version="1.0" encoding="utf-8"?>
<calcChain xmlns="http://schemas.openxmlformats.org/spreadsheetml/2006/main">
  <c r="O100" i="1" l="1"/>
  <c r="N100" i="1"/>
  <c r="H147" i="1"/>
  <c r="G147" i="1"/>
  <c r="H146" i="1"/>
  <c r="G146" i="1"/>
  <c r="H145" i="1"/>
  <c r="G145" i="1"/>
  <c r="H144" i="1"/>
  <c r="G144" i="1"/>
  <c r="H143" i="1"/>
  <c r="G143" i="1"/>
  <c r="H142" i="1"/>
  <c r="G142" i="1"/>
  <c r="H141" i="1"/>
  <c r="G141" i="1"/>
  <c r="H140" i="1"/>
  <c r="G140" i="1"/>
  <c r="H139" i="1"/>
  <c r="G139" i="1"/>
  <c r="H138" i="1"/>
  <c r="G138" i="1"/>
  <c r="H137" i="1"/>
  <c r="G137" i="1"/>
  <c r="H136" i="1"/>
  <c r="G136" i="1"/>
  <c r="H135" i="1"/>
  <c r="G135" i="1"/>
  <c r="H134" i="1"/>
  <c r="G134" i="1"/>
  <c r="H133" i="1"/>
  <c r="G133" i="1"/>
  <c r="H132" i="1"/>
  <c r="G132" i="1"/>
  <c r="H129" i="1"/>
  <c r="G129" i="1"/>
  <c r="H128" i="1"/>
  <c r="G128" i="1"/>
  <c r="H127" i="1"/>
  <c r="G127" i="1"/>
  <c r="H126" i="1"/>
  <c r="G126" i="1"/>
  <c r="H125" i="1"/>
  <c r="G125" i="1"/>
  <c r="H124" i="1"/>
  <c r="G124" i="1"/>
  <c r="H123" i="1"/>
  <c r="G123" i="1"/>
  <c r="H122" i="1"/>
  <c r="G122" i="1"/>
  <c r="H121" i="1"/>
  <c r="G121" i="1"/>
  <c r="H120" i="1"/>
  <c r="G120" i="1"/>
  <c r="H119" i="1"/>
  <c r="G119" i="1"/>
  <c r="H118" i="1"/>
  <c r="G118" i="1"/>
  <c r="H117" i="1"/>
  <c r="G117" i="1"/>
  <c r="H116" i="1"/>
  <c r="H115" i="1"/>
  <c r="H112" i="1"/>
  <c r="G112" i="1"/>
  <c r="H111" i="1"/>
  <c r="G111" i="1"/>
  <c r="H110" i="1"/>
  <c r="G110" i="1"/>
  <c r="H108" i="1"/>
  <c r="G108" i="1"/>
  <c r="G94" i="1"/>
  <c r="F94" i="1"/>
  <c r="E94" i="1"/>
  <c r="I93" i="1"/>
  <c r="H93" i="1"/>
  <c r="I92" i="1"/>
  <c r="H92" i="1"/>
  <c r="I91" i="1"/>
  <c r="H91" i="1"/>
  <c r="I90" i="1"/>
  <c r="H90" i="1"/>
  <c r="I89" i="1"/>
  <c r="H89" i="1"/>
  <c r="G86" i="1"/>
  <c r="F86" i="1"/>
  <c r="E86" i="1"/>
  <c r="I85" i="1"/>
  <c r="H85" i="1"/>
  <c r="I84" i="1"/>
  <c r="H84" i="1"/>
  <c r="I83" i="1"/>
  <c r="H83" i="1"/>
  <c r="I82" i="1"/>
  <c r="H82" i="1"/>
  <c r="G79" i="1"/>
  <c r="F79" i="1"/>
  <c r="E79" i="1"/>
  <c r="I78" i="1"/>
  <c r="H78" i="1"/>
  <c r="I77" i="1"/>
  <c r="H77" i="1"/>
  <c r="I76" i="1"/>
  <c r="H76" i="1"/>
  <c r="I75" i="1"/>
  <c r="H75" i="1"/>
  <c r="I74" i="1"/>
  <c r="H74" i="1"/>
  <c r="I73" i="1"/>
  <c r="H73" i="1"/>
  <c r="G70" i="1"/>
  <c r="F70" i="1"/>
  <c r="E70" i="1"/>
  <c r="I69" i="1"/>
  <c r="H69" i="1"/>
  <c r="I68" i="1"/>
  <c r="H68" i="1"/>
  <c r="I67" i="1"/>
  <c r="H67" i="1"/>
  <c r="I66" i="1"/>
  <c r="H66" i="1"/>
  <c r="I65" i="1"/>
  <c r="H65" i="1"/>
  <c r="G62" i="1"/>
  <c r="F62" i="1"/>
  <c r="E62" i="1"/>
  <c r="I61" i="1"/>
  <c r="H61" i="1"/>
  <c r="I60" i="1"/>
  <c r="H60" i="1"/>
  <c r="I59" i="1"/>
  <c r="H59" i="1"/>
  <c r="I58" i="1"/>
  <c r="H58" i="1"/>
  <c r="I57" i="1"/>
  <c r="H57" i="1"/>
  <c r="G54" i="1"/>
  <c r="F54" i="1"/>
  <c r="E54" i="1"/>
  <c r="I53" i="1"/>
  <c r="H53" i="1"/>
  <c r="I52" i="1"/>
  <c r="H52" i="1"/>
  <c r="I51" i="1"/>
  <c r="H51" i="1"/>
  <c r="I50" i="1"/>
  <c r="H50" i="1"/>
  <c r="I49" i="1"/>
  <c r="I54" i="1" s="1"/>
  <c r="H49" i="1"/>
  <c r="G44" i="1"/>
  <c r="F44" i="1"/>
  <c r="E44" i="1"/>
  <c r="I43" i="1"/>
  <c r="H43" i="1"/>
  <c r="I42" i="1"/>
  <c r="H42" i="1"/>
  <c r="I41" i="1"/>
  <c r="H41" i="1"/>
  <c r="I40" i="1"/>
  <c r="H40" i="1"/>
  <c r="I39" i="1"/>
  <c r="H39" i="1"/>
  <c r="G36" i="1"/>
  <c r="F36" i="1"/>
  <c r="E36" i="1"/>
  <c r="I35" i="1"/>
  <c r="H35" i="1"/>
  <c r="I34" i="1"/>
  <c r="H34" i="1"/>
  <c r="I33" i="1"/>
  <c r="H33" i="1"/>
  <c r="I32" i="1"/>
  <c r="H32" i="1"/>
  <c r="I31" i="1"/>
  <c r="I36" i="1" s="1"/>
  <c r="H31" i="1"/>
  <c r="G26" i="1"/>
  <c r="F26" i="1"/>
  <c r="E26" i="1"/>
  <c r="I25" i="1"/>
  <c r="H25" i="1"/>
  <c r="I24" i="1"/>
  <c r="H24" i="1"/>
  <c r="I23" i="1"/>
  <c r="H23" i="1"/>
  <c r="I22" i="1"/>
  <c r="H22" i="1"/>
  <c r="I21" i="1"/>
  <c r="H21" i="1"/>
  <c r="G18" i="1"/>
  <c r="F18" i="1"/>
  <c r="E18" i="1"/>
  <c r="I17" i="1"/>
  <c r="H17" i="1"/>
  <c r="I16" i="1"/>
  <c r="H16" i="1"/>
  <c r="I15" i="1"/>
  <c r="H15" i="1"/>
  <c r="I14" i="1"/>
  <c r="H14" i="1"/>
  <c r="I13" i="1"/>
  <c r="H13" i="1"/>
  <c r="H44" i="1" l="1"/>
  <c r="H86" i="1"/>
  <c r="I94" i="1"/>
  <c r="E100" i="1"/>
  <c r="H62" i="1"/>
  <c r="I44" i="1"/>
  <c r="H18" i="1"/>
  <c r="H70" i="1"/>
  <c r="H94" i="1"/>
  <c r="E101" i="1"/>
  <c r="F101" i="1" s="1"/>
  <c r="I18" i="1"/>
  <c r="I70" i="1"/>
  <c r="E102" i="1"/>
  <c r="F102" i="1" s="1"/>
  <c r="H26" i="1"/>
  <c r="H54" i="1"/>
  <c r="H79" i="1"/>
  <c r="I86" i="1"/>
  <c r="I62" i="1"/>
  <c r="I26" i="1"/>
  <c r="H36" i="1"/>
  <c r="I79" i="1"/>
  <c r="F100" i="1" l="1"/>
  <c r="N101" i="1"/>
  <c r="O101" i="1" s="1"/>
  <c r="E103" i="1"/>
  <c r="F103" i="1"/>
</calcChain>
</file>

<file path=xl/sharedStrings.xml><?xml version="1.0" encoding="utf-8"?>
<sst xmlns="http://schemas.openxmlformats.org/spreadsheetml/2006/main" count="380" uniqueCount="201">
  <si>
    <t>PRÓ-REITORIA DE GRADUAÇÃO</t>
  </si>
  <si>
    <t>ANEXO "F"</t>
  </si>
  <si>
    <t>ESCOLA POLITÉCNICA</t>
  </si>
  <si>
    <t>CURRÍCULO IDEAL</t>
  </si>
  <si>
    <t>Curso: Engenharia Eletrônica e de Sistemas Computacionais</t>
  </si>
  <si>
    <t>Durações:</t>
  </si>
  <si>
    <t>Ideal</t>
  </si>
  <si>
    <t>10 sem.</t>
  </si>
  <si>
    <t>Período: Integral</t>
  </si>
  <si>
    <t>Mínima</t>
  </si>
  <si>
    <t>Código de curso: XXX</t>
  </si>
  <si>
    <t>Máxima</t>
  </si>
  <si>
    <t>15 sem.</t>
  </si>
  <si>
    <t>Ano de início de validade deste currículo: 2027</t>
  </si>
  <si>
    <t>Disciplinas em Sequência Aconselhada</t>
  </si>
  <si>
    <t>Disciplina Requisito</t>
  </si>
  <si>
    <t>Disciplina Conjunto</t>
  </si>
  <si>
    <t>Créditos</t>
  </si>
  <si>
    <t>Carga Horária</t>
  </si>
  <si>
    <t>Obrigatórias</t>
  </si>
  <si>
    <t>Aula</t>
  </si>
  <si>
    <t>Trab.</t>
  </si>
  <si>
    <t>Aex</t>
  </si>
  <si>
    <t>Tot.</t>
  </si>
  <si>
    <t>1º semestre</t>
  </si>
  <si>
    <t>PSI0111</t>
  </si>
  <si>
    <t>Projeto Integrativo 1a</t>
  </si>
  <si>
    <t>Módulo de Fundamentos 1</t>
  </si>
  <si>
    <t>PSI0121</t>
  </si>
  <si>
    <t>PSI0122</t>
  </si>
  <si>
    <t>Mecânica e Materiais 1</t>
  </si>
  <si>
    <t>PSI0123</t>
  </si>
  <si>
    <t>Microcontroladores 1</t>
  </si>
  <si>
    <t>Subtotal:</t>
  </si>
  <si>
    <t>2º semestre</t>
  </si>
  <si>
    <t>PSI0112</t>
  </si>
  <si>
    <t>Projeto Integrativo 1b</t>
  </si>
  <si>
    <t>Módulo de Fundamentos 2</t>
  </si>
  <si>
    <t>PSI0124</t>
  </si>
  <si>
    <t>Mecânica e Materiais 2</t>
  </si>
  <si>
    <t>PSI0126</t>
  </si>
  <si>
    <t>Microcontroladores 2</t>
  </si>
  <si>
    <t>Disciplinas Obrigatórias</t>
  </si>
  <si>
    <t>Sequência aconselhada</t>
  </si>
  <si>
    <t>3º semestre</t>
  </si>
  <si>
    <t>PSI0211</t>
  </si>
  <si>
    <t>Projeto Integrativo 2</t>
  </si>
  <si>
    <t>Módulo de Fundamentos 3</t>
  </si>
  <si>
    <t>PSI0221</t>
  </si>
  <si>
    <t>PSI0222</t>
  </si>
  <si>
    <t>PSI0223</t>
  </si>
  <si>
    <t>4º semestre</t>
  </si>
  <si>
    <t>PSI0212</t>
  </si>
  <si>
    <t>Projeto Integrativo 2b</t>
  </si>
  <si>
    <t>Módulo de Fundamentos 4</t>
  </si>
  <si>
    <t>PSI0224</t>
  </si>
  <si>
    <t>Introdução à Electrotécnica</t>
  </si>
  <si>
    <t>PSI0225</t>
  </si>
  <si>
    <t>Fundamentos de Software e Arquitetura de Computadores</t>
  </si>
  <si>
    <t>PSI0226</t>
  </si>
  <si>
    <t>5º semestre</t>
  </si>
  <si>
    <t>PSI0311</t>
  </si>
  <si>
    <t>Projeto Integrativo 3a</t>
  </si>
  <si>
    <t>Módulo de Fundamentos 5</t>
  </si>
  <si>
    <t>PSI0321</t>
  </si>
  <si>
    <t>Comunicações</t>
  </si>
  <si>
    <t>PSI0322</t>
  </si>
  <si>
    <t xml:space="preserve">Processamento de áudio e imagem </t>
  </si>
  <si>
    <t>PSI0323</t>
  </si>
  <si>
    <t>6º semestre</t>
  </si>
  <si>
    <t>PSI0312</t>
  </si>
  <si>
    <t>Projeto Integrativo 3b</t>
  </si>
  <si>
    <t>Módulo de Fundamentos 6</t>
  </si>
  <si>
    <t>PSI0324</t>
  </si>
  <si>
    <t>Eletrônica Integrada</t>
  </si>
  <si>
    <t>PSI0325</t>
  </si>
  <si>
    <t>Inteligência Artificial</t>
  </si>
  <si>
    <t>PSI0326</t>
  </si>
  <si>
    <t>Instrumentação, Automação e Controle</t>
  </si>
  <si>
    <t>0323328</t>
  </si>
  <si>
    <t>7º semestre</t>
  </si>
  <si>
    <t>PSI0411</t>
  </si>
  <si>
    <t>Projeto Integrativo 4a</t>
  </si>
  <si>
    <t>PSI3452</t>
  </si>
  <si>
    <t xml:space="preserve">Projeto de Circuitos Lógicos Integrados </t>
  </si>
  <si>
    <t>PSI3541</t>
  </si>
  <si>
    <t>Sistemas Embarcados Distribuídos</t>
  </si>
  <si>
    <t>PSI3472</t>
  </si>
  <si>
    <t>Concepção e Implementação de Sistemas Eletrônicos Inteligentes</t>
  </si>
  <si>
    <t>PSI3481</t>
  </si>
  <si>
    <t>Sistemas Ópticos e de Micro-ondas</t>
  </si>
  <si>
    <t>8º semestre</t>
  </si>
  <si>
    <t>PSI0412</t>
  </si>
  <si>
    <t>Projeto Integrativo 4b</t>
  </si>
  <si>
    <t>PRO3811</t>
  </si>
  <si>
    <t>Fundamentos de Administração</t>
  </si>
  <si>
    <t>PRO3812</t>
  </si>
  <si>
    <t>Fundamentos de Economia</t>
  </si>
  <si>
    <t>Optat. Elet.</t>
  </si>
  <si>
    <t>9º semestre</t>
  </si>
  <si>
    <t>Projeto de Formatura I</t>
  </si>
  <si>
    <t>10º semestre</t>
  </si>
  <si>
    <t>Projeto de Formatura II</t>
  </si>
  <si>
    <t>PSI3593</t>
  </si>
  <si>
    <t xml:space="preserve">Estágio Supervisionado </t>
  </si>
  <si>
    <t>Nº DE CRÉDITOS E CARGA HORÁRIA</t>
  </si>
  <si>
    <t>NECESSÁRIOS PARA A CONCLUSÃO DO CICLO BÁSICO DA ENGENHARIA ELÉTRICA</t>
  </si>
  <si>
    <t>Obrigatórios</t>
  </si>
  <si>
    <t>créd-aula</t>
  </si>
  <si>
    <t>créd-trabalho</t>
  </si>
  <si>
    <t>créd-ext.</t>
  </si>
  <si>
    <t xml:space="preserve">Totais </t>
  </si>
  <si>
    <t>Disciplinas Optativas Eletivas</t>
  </si>
  <si>
    <t>PSI3442</t>
  </si>
  <si>
    <t xml:space="preserve">Projeto de Sistemas Embarcados </t>
  </si>
  <si>
    <t>PSI3482</t>
  </si>
  <si>
    <t xml:space="preserve">Antenas, Micro-ondas e Óptica Moderna </t>
  </si>
  <si>
    <t>PSI3560</t>
  </si>
  <si>
    <t xml:space="preserve">Sistemas Cognitivos </t>
  </si>
  <si>
    <t>PSI3561</t>
  </si>
  <si>
    <t>Engenharia Automotiva</t>
  </si>
  <si>
    <t>PSI3531</t>
  </si>
  <si>
    <t>Processamento de Sinais Aplicado</t>
  </si>
  <si>
    <t>PSI3551</t>
  </si>
  <si>
    <t>PSI3571</t>
  </si>
  <si>
    <t>Práticas em Reconhecimento de Padrões, Modelagem e Inteligência Computacional</t>
  </si>
  <si>
    <t>PSI3581</t>
  </si>
  <si>
    <t>PCS3412</t>
  </si>
  <si>
    <t>Organização e Arquitetura de Computadores I</t>
  </si>
  <si>
    <t>Interação Humano-Computador</t>
  </si>
  <si>
    <t>Sistemas Embarcados</t>
  </si>
  <si>
    <t>PTC3444</t>
  </si>
  <si>
    <t>Antenas e Propagação</t>
  </si>
  <si>
    <t>PSI3552</t>
  </si>
  <si>
    <t>PTC3405</t>
  </si>
  <si>
    <t>Processos Estocásticos</t>
  </si>
  <si>
    <t>PSI3432</t>
  </si>
  <si>
    <t>PSI3501</t>
  </si>
  <si>
    <t>Processamento de Voz e Aprendizagem de Máquina</t>
  </si>
  <si>
    <t>PSI3532</t>
  </si>
  <si>
    <t>Filtragem Adaptativa e Aplicações</t>
  </si>
  <si>
    <t>PSI3542</t>
  </si>
  <si>
    <t>PSI3572</t>
  </si>
  <si>
    <t>PCS3558</t>
  </si>
  <si>
    <t>Laboratório de Sistemas Embarcados</t>
  </si>
  <si>
    <t>PSI3483</t>
  </si>
  <si>
    <t>Ondas Eletromagnéticas em Meios Guiados</t>
  </si>
  <si>
    <t>PTC3429</t>
  </si>
  <si>
    <t>Laboratório de Circuitos de Comunicações</t>
  </si>
  <si>
    <t>Processamento Estatístico e Adaptativo</t>
  </si>
  <si>
    <t>PSI3463</t>
  </si>
  <si>
    <t>Laboratório de Fabricação de Circuitos Integrados</t>
  </si>
  <si>
    <t>PSI3582</t>
  </si>
  <si>
    <t>Sistemas DWDM e Redes Ópticas de Transporte</t>
  </si>
  <si>
    <r>
      <rPr>
        <b/>
        <sz val="9"/>
        <color theme="1"/>
        <rFont val="Arial"/>
      </rPr>
      <t>Informações específicas:</t>
    </r>
    <r>
      <rPr>
        <sz val="9"/>
        <color theme="1"/>
        <rFont val="Arial"/>
      </rPr>
      <t xml:space="preserve">
Para a conclusão do Curso, o aluno deverá cursar:
1) Todas as disciplinas solicitadas na grade curricular do 1º ao 10º semestres, (obrigatórias, eletivas e livres) considerando inclusive todas as informações específicas;
2) No 8º semestre, o aluno deverá cursar 12 créditos de um conjunto de cinco disciplinas optativas eletivas do curso.</t>
    </r>
    <r>
      <rPr>
        <sz val="9"/>
        <color rgb="FFFF0000"/>
        <rFont val="Arial"/>
      </rPr>
      <t xml:space="preserve">
</t>
    </r>
    <r>
      <rPr>
        <sz val="9"/>
        <color theme="1"/>
        <rFont val="Arial"/>
      </rPr>
      <t xml:space="preserve">3) No 9º semestre e no 10º semestre,  o aluno deverá cursar 24 créditos de disciplinas optativas eletivas do curso.
</t>
    </r>
  </si>
  <si>
    <t>Código</t>
  </si>
  <si>
    <t>Nome</t>
  </si>
  <si>
    <t>Trilha</t>
  </si>
  <si>
    <t>Embarcados</t>
  </si>
  <si>
    <t>PCS3722</t>
  </si>
  <si>
    <t>Organização e Arquitetura de Computadores II</t>
  </si>
  <si>
    <t>PCS3848</t>
  </si>
  <si>
    <t>PCS3573</t>
  </si>
  <si>
    <t>Projeto de Sistemas Embarcados</t>
  </si>
  <si>
    <t>Sistemas Embarcados para IoT</t>
  </si>
  <si>
    <t>IA</t>
  </si>
  <si>
    <t>Detecção e Estimação de Sinais</t>
  </si>
  <si>
    <t>PCS3838</t>
  </si>
  <si>
    <t>Processamento de Áudio e Imagem</t>
  </si>
  <si>
    <t>Computação Visual</t>
  </si>
  <si>
    <t>PTC3451</t>
  </si>
  <si>
    <t>PMR3508</t>
  </si>
  <si>
    <t>Aprendizado de Máquina e Reconhecimento de Padrões</t>
  </si>
  <si>
    <t>Projeto de Sistemas Embarcados em Chips</t>
  </si>
  <si>
    <t>Microeletrônica</t>
  </si>
  <si>
    <t>Projeto de Circuitos Integrados Digitais e Analógicos</t>
  </si>
  <si>
    <t>Processos e Caracterização de Dispositivos Nanoeletrônicos</t>
  </si>
  <si>
    <t>Circuitos de Micro-Ondas</t>
  </si>
  <si>
    <t>Comunicação</t>
  </si>
  <si>
    <t>Antenas, Micro-ondas e Óptica Moderna</t>
  </si>
  <si>
    <t>PSI3422</t>
  </si>
  <si>
    <t>PSI3451</t>
  </si>
  <si>
    <t>Processamento de áudio e imagem</t>
  </si>
  <si>
    <t>Projeto de circuitos lógicos integrados</t>
  </si>
  <si>
    <t>Laboratório de sistemas eletrônicos</t>
  </si>
  <si>
    <t>9o</t>
  </si>
  <si>
    <t>Semestre</t>
  </si>
  <si>
    <t>10o</t>
  </si>
  <si>
    <t>PSI3591</t>
  </si>
  <si>
    <t>PSI3592</t>
  </si>
  <si>
    <t>eletiva</t>
  </si>
  <si>
    <t>obrigatório</t>
  </si>
  <si>
    <r>
      <t xml:space="preserve">Circuitos </t>
    </r>
    <r>
      <rPr>
        <sz val="9"/>
        <color rgb="FFFF0000"/>
        <rFont val="Arial"/>
        <family val="2"/>
      </rPr>
      <t>Elétricos 2</t>
    </r>
  </si>
  <si>
    <r>
      <t xml:space="preserve">Circuitos </t>
    </r>
    <r>
      <rPr>
        <sz val="9"/>
        <color rgb="FFFF0000"/>
        <rFont val="Arial"/>
        <family val="2"/>
      </rPr>
      <t>Elétricos 1</t>
    </r>
  </si>
  <si>
    <r>
      <t xml:space="preserve">Circuitos </t>
    </r>
    <r>
      <rPr>
        <sz val="9"/>
        <color rgb="FFFF0000"/>
        <rFont val="Arial"/>
        <family val="2"/>
      </rPr>
      <t>Elétrico 3</t>
    </r>
  </si>
  <si>
    <t>Eletrônica 1</t>
  </si>
  <si>
    <t>Eletrônica 2</t>
  </si>
  <si>
    <t>Processamento de Sinais</t>
  </si>
  <si>
    <t xml:space="preserve">Modegem e Controle </t>
  </si>
  <si>
    <r>
      <rPr>
        <sz val="9"/>
        <color rgb="FFFF0000"/>
        <rFont val="Arial"/>
        <family val="2"/>
      </rPr>
      <t>030xxxx</t>
    </r>
  </si>
  <si>
    <t>030xxxy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</si>
</sst>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rgb="FF000000"/>
      <name val="Calibri"/>
      <scheme val="minor"/>
    </font>
    <font>
      <b/>
      <sz val="9"/>
      <color theme="1"/>
      <name val="Arial"/>
    </font>
    <font>
      <sz val="11"/>
      <name val="Calibri"/>
    </font>
    <font>
      <sz val="11"/>
      <color theme="1"/>
      <name val="Times New Roman"/>
    </font>
    <font>
      <sz val="11"/>
      <color theme="1"/>
      <name val="Calibri"/>
    </font>
    <font>
      <sz val="9"/>
      <color theme="1"/>
      <name val="Arial"/>
    </font>
    <font>
      <sz val="11"/>
      <color theme="1"/>
      <name val="Arial"/>
    </font>
    <font>
      <sz val="9"/>
      <color rgb="FF000000"/>
      <name val="Arial"/>
    </font>
    <font>
      <sz val="10"/>
      <color rgb="FF000000"/>
      <name val="Arial"/>
    </font>
    <font>
      <i/>
      <sz val="10"/>
      <color rgb="FF000000"/>
      <name val="Arial"/>
    </font>
    <font>
      <strike/>
      <sz val="9"/>
      <color rgb="FF000000"/>
      <name val="Arial"/>
    </font>
    <font>
      <sz val="11"/>
      <color rgb="FF000000"/>
      <name val="Times New Roman"/>
    </font>
    <font>
      <b/>
      <sz val="9"/>
      <color rgb="FF000000"/>
      <name val="Arial"/>
    </font>
    <font>
      <sz val="9"/>
      <color rgb="FFFF0000"/>
      <name val="Arial"/>
    </font>
    <font>
      <sz val="8"/>
      <color rgb="FF666666"/>
      <name val="Verdana"/>
    </font>
    <font>
      <u/>
      <sz val="11"/>
      <color theme="10"/>
      <name val="Calibri"/>
    </font>
    <font>
      <u/>
      <sz val="11"/>
      <color theme="10"/>
      <name val="Calibri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sz val="8"/>
      <name val="Verdana"/>
      <family val="2"/>
    </font>
    <font>
      <u/>
      <sz val="11"/>
      <name val="Calibri"/>
      <family val="2"/>
    </font>
    <font>
      <u/>
      <sz val="11"/>
      <name val="Calibri"/>
      <family val="2"/>
      <scheme val="minor"/>
    </font>
    <font>
      <sz val="9"/>
      <name val="Arial"/>
      <family val="2"/>
    </font>
    <font>
      <sz val="9"/>
      <color rgb="FF000000"/>
      <name val="Arial"/>
      <family val="2"/>
    </font>
    <font>
      <b/>
      <i/>
      <sz val="10"/>
      <color rgb="FFEE0000"/>
      <name val="Calibri"/>
      <family val="2"/>
      <scheme val="minor"/>
    </font>
    <font>
      <sz val="9"/>
      <color theme="1"/>
      <name val="Arial"/>
      <family val="2"/>
    </font>
    <font>
      <sz val="9"/>
      <color rgb="FFFF0000"/>
      <name val="Arial"/>
      <family val="2"/>
    </font>
    <font>
      <b/>
      <sz val="9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BD4B4"/>
        <bgColor rgb="FFFBD4B4"/>
      </patternFill>
    </fill>
    <fill>
      <patternFill patternType="solid">
        <fgColor rgb="FFFDE9D9"/>
        <bgColor rgb="FFFDE9D9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141312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141312"/>
      </left>
      <right/>
      <top/>
      <bottom style="thin">
        <color rgb="FF141312"/>
      </bottom>
      <diagonal/>
    </border>
    <border>
      <left/>
      <right/>
      <top/>
      <bottom style="thin">
        <color rgb="FF141312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141312"/>
      </top>
      <bottom style="thin">
        <color rgb="FF141312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141312"/>
      </left>
      <right/>
      <top style="thin">
        <color rgb="FF141312"/>
      </top>
      <bottom style="medium">
        <color indexed="64"/>
      </bottom>
      <diagonal/>
    </border>
    <border>
      <left/>
      <right/>
      <top style="thin">
        <color rgb="FF141312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rgb="FF141312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172">
    <xf numFmtId="0" fontId="0" fillId="0" borderId="0" xfId="0"/>
    <xf numFmtId="0" fontId="3" fillId="0" borderId="0" xfId="0" applyFont="1"/>
    <xf numFmtId="0" fontId="4" fillId="0" borderId="0" xfId="0" applyFont="1"/>
    <xf numFmtId="0" fontId="5" fillId="0" borderId="7" xfId="0" applyFont="1" applyBorder="1"/>
    <xf numFmtId="0" fontId="5" fillId="0" borderId="7" xfId="0" applyFont="1" applyBorder="1" applyAlignment="1">
      <alignment horizontal="right"/>
    </xf>
    <xf numFmtId="0" fontId="6" fillId="0" borderId="0" xfId="0" applyFont="1"/>
    <xf numFmtId="0" fontId="1" fillId="0" borderId="7" xfId="0" applyFont="1" applyBorder="1" applyAlignment="1">
      <alignment horizontal="center" vertical="center" wrapText="1"/>
    </xf>
    <xf numFmtId="0" fontId="7" fillId="0" borderId="6" xfId="0" quotePrefix="1" applyFont="1" applyBorder="1"/>
    <xf numFmtId="0" fontId="5" fillId="0" borderId="7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8" fillId="0" borderId="0" xfId="0" applyFont="1"/>
    <xf numFmtId="0" fontId="9" fillId="0" borderId="0" xfId="0" applyFont="1"/>
    <xf numFmtId="0" fontId="7" fillId="0" borderId="7" xfId="0" applyFont="1" applyBorder="1"/>
    <xf numFmtId="0" fontId="10" fillId="0" borderId="6" xfId="0" applyFont="1" applyBorder="1"/>
    <xf numFmtId="0" fontId="5" fillId="0" borderId="7" xfId="0" applyFont="1" applyBorder="1" applyAlignment="1">
      <alignment horizontal="left" vertical="center" wrapText="1"/>
    </xf>
    <xf numFmtId="0" fontId="7" fillId="0" borderId="7" xfId="0" quotePrefix="1" applyFont="1" applyBorder="1"/>
    <xf numFmtId="0" fontId="1" fillId="0" borderId="4" xfId="0" applyFont="1" applyBorder="1" applyAlignment="1">
      <alignment horizontal="right" vertical="center" wrapText="1"/>
    </xf>
    <xf numFmtId="0" fontId="1" fillId="0" borderId="4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5" fillId="0" borderId="9" xfId="0" applyFont="1" applyBorder="1"/>
    <xf numFmtId="0" fontId="3" fillId="0" borderId="7" xfId="0" applyFont="1" applyBorder="1"/>
    <xf numFmtId="0" fontId="3" fillId="0" borderId="7" xfId="0" applyFont="1" applyBorder="1" applyAlignment="1">
      <alignment horizontal="center"/>
    </xf>
    <xf numFmtId="0" fontId="11" fillId="0" borderId="7" xfId="0" applyFont="1" applyBorder="1"/>
    <xf numFmtId="0" fontId="5" fillId="0" borderId="20" xfId="0" applyFont="1" applyBorder="1"/>
    <xf numFmtId="0" fontId="5" fillId="0" borderId="18" xfId="0" applyFont="1" applyBorder="1" applyAlignment="1">
      <alignment horizontal="center" vertical="center"/>
    </xf>
    <xf numFmtId="0" fontId="5" fillId="0" borderId="22" xfId="0" applyFont="1" applyBorder="1"/>
    <xf numFmtId="0" fontId="5" fillId="0" borderId="24" xfId="0" applyFont="1" applyBorder="1" applyAlignment="1">
      <alignment horizontal="center" vertical="center"/>
    </xf>
    <xf numFmtId="0" fontId="7" fillId="4" borderId="17" xfId="0" applyFont="1" applyFill="1" applyBorder="1" applyAlignment="1">
      <alignment horizontal="left"/>
    </xf>
    <xf numFmtId="0" fontId="7" fillId="4" borderId="18" xfId="0" applyFont="1" applyFill="1" applyBorder="1"/>
    <xf numFmtId="0" fontId="7" fillId="0" borderId="18" xfId="0" applyFont="1" applyBorder="1" applyAlignment="1">
      <alignment horizontal="center"/>
    </xf>
    <xf numFmtId="0" fontId="7" fillId="0" borderId="18" xfId="0" applyFont="1" applyBorder="1" applyAlignment="1">
      <alignment horizontal="center" vertical="center" wrapText="1"/>
    </xf>
    <xf numFmtId="0" fontId="7" fillId="0" borderId="19" xfId="0" applyFont="1" applyBorder="1" applyAlignment="1">
      <alignment horizontal="center"/>
    </xf>
    <xf numFmtId="0" fontId="7" fillId="4" borderId="6" xfId="0" applyFont="1" applyFill="1" applyBorder="1" applyAlignment="1">
      <alignment horizontal="left"/>
    </xf>
    <xf numFmtId="0" fontId="7" fillId="4" borderId="7" xfId="0" applyFont="1" applyFill="1" applyBorder="1"/>
    <xf numFmtId="0" fontId="7" fillId="0" borderId="7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/>
    </xf>
    <xf numFmtId="0" fontId="7" fillId="0" borderId="6" xfId="0" applyFont="1" applyBorder="1" applyAlignment="1">
      <alignment horizontal="left"/>
    </xf>
    <xf numFmtId="0" fontId="7" fillId="0" borderId="26" xfId="0" applyFont="1" applyBorder="1" applyAlignment="1">
      <alignment horizontal="center" vertical="center" wrapText="1"/>
    </xf>
    <xf numFmtId="0" fontId="5" fillId="0" borderId="26" xfId="0" applyFont="1" applyBorder="1" applyAlignment="1">
      <alignment vertical="center" wrapText="1"/>
    </xf>
    <xf numFmtId="0" fontId="5" fillId="0" borderId="26" xfId="0" applyFont="1" applyBorder="1" applyAlignment="1">
      <alignment horizontal="center" vertical="center" wrapText="1"/>
    </xf>
    <xf numFmtId="0" fontId="7" fillId="0" borderId="26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 wrapText="1"/>
    </xf>
    <xf numFmtId="0" fontId="5" fillId="0" borderId="27" xfId="0" applyFont="1" applyBorder="1" applyAlignment="1">
      <alignment vertical="center" wrapText="1"/>
    </xf>
    <xf numFmtId="0" fontId="5" fillId="0" borderId="27" xfId="0" applyFont="1" applyBorder="1" applyAlignment="1">
      <alignment horizontal="center" vertical="center" wrapText="1"/>
    </xf>
    <xf numFmtId="0" fontId="13" fillId="0" borderId="27" xfId="0" applyFont="1" applyBorder="1" applyAlignment="1">
      <alignment horizontal="center" vertical="center" wrapText="1"/>
    </xf>
    <xf numFmtId="0" fontId="13" fillId="0" borderId="27" xfId="0" applyFont="1" applyBorder="1" applyAlignment="1">
      <alignment vertical="center" wrapText="1"/>
    </xf>
    <xf numFmtId="0" fontId="13" fillId="0" borderId="28" xfId="0" applyFont="1" applyBorder="1" applyAlignment="1">
      <alignment horizontal="center" vertical="center" wrapText="1"/>
    </xf>
    <xf numFmtId="0" fontId="13" fillId="0" borderId="28" xfId="0" applyFont="1" applyBorder="1" applyAlignment="1">
      <alignment vertical="center" wrapText="1"/>
    </xf>
    <xf numFmtId="0" fontId="5" fillId="0" borderId="28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/>
    </xf>
    <xf numFmtId="0" fontId="13" fillId="0" borderId="7" xfId="0" applyFont="1" applyBorder="1" applyAlignment="1">
      <alignment horizontal="center" vertical="center" wrapText="1"/>
    </xf>
    <xf numFmtId="0" fontId="13" fillId="0" borderId="7" xfId="0" applyFont="1" applyBorder="1" applyAlignment="1">
      <alignment vertical="center" wrapText="1"/>
    </xf>
    <xf numFmtId="0" fontId="7" fillId="0" borderId="1" xfId="0" applyFont="1" applyBorder="1" applyAlignment="1">
      <alignment horizontal="center"/>
    </xf>
    <xf numFmtId="0" fontId="4" fillId="0" borderId="21" xfId="0" applyFont="1" applyBorder="1"/>
    <xf numFmtId="0" fontId="7" fillId="0" borderId="7" xfId="0" applyFont="1" applyBorder="1" applyAlignment="1">
      <alignment horizontal="right"/>
    </xf>
    <xf numFmtId="0" fontId="5" fillId="0" borderId="29" xfId="0" applyFont="1" applyBorder="1" applyAlignment="1">
      <alignment horizontal="center" vertical="center" wrapText="1"/>
    </xf>
    <xf numFmtId="0" fontId="5" fillId="0" borderId="29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horizontal="center" vertical="center" wrapText="1"/>
    </xf>
    <xf numFmtId="0" fontId="5" fillId="0" borderId="10" xfId="0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8" fillId="0" borderId="7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 wrapText="1"/>
    </xf>
    <xf numFmtId="0" fontId="19" fillId="0" borderId="7" xfId="0" applyFont="1" applyBorder="1" applyAlignment="1">
      <alignment vertical="center" wrapText="1"/>
    </xf>
    <xf numFmtId="0" fontId="19" fillId="0" borderId="0" xfId="0" applyFont="1" applyAlignment="1">
      <alignment horizontal="center" vertical="center" wrapText="1"/>
    </xf>
    <xf numFmtId="0" fontId="20" fillId="5" borderId="7" xfId="0" applyFont="1" applyFill="1" applyBorder="1" applyAlignment="1">
      <alignment vertical="center" wrapText="1"/>
    </xf>
    <xf numFmtId="0" fontId="19" fillId="5" borderId="7" xfId="0" applyFont="1" applyFill="1" applyBorder="1" applyAlignment="1">
      <alignment vertical="center" wrapText="1"/>
    </xf>
    <xf numFmtId="0" fontId="20" fillId="5" borderId="7" xfId="0" applyFont="1" applyFill="1" applyBorder="1" applyAlignment="1">
      <alignment horizontal="center" vertical="center" wrapText="1"/>
    </xf>
    <xf numFmtId="0" fontId="22" fillId="0" borderId="7" xfId="0" applyFont="1" applyBorder="1" applyAlignment="1">
      <alignment wrapText="1"/>
    </xf>
    <xf numFmtId="0" fontId="22" fillId="0" borderId="7" xfId="0" applyFont="1" applyBorder="1"/>
    <xf numFmtId="0" fontId="20" fillId="0" borderId="7" xfId="0" applyFont="1" applyBorder="1" applyAlignment="1">
      <alignment horizontal="center"/>
    </xf>
    <xf numFmtId="0" fontId="19" fillId="0" borderId="0" xfId="0" applyFont="1" applyAlignment="1">
      <alignment horizontal="right" vertical="center" wrapText="1"/>
    </xf>
    <xf numFmtId="0" fontId="18" fillId="0" borderId="0" xfId="0" applyFont="1" applyAlignment="1">
      <alignment horizontal="center"/>
    </xf>
    <xf numFmtId="0" fontId="19" fillId="0" borderId="30" xfId="0" applyFont="1" applyBorder="1" applyAlignment="1">
      <alignment horizontal="center"/>
    </xf>
    <xf numFmtId="0" fontId="19" fillId="0" borderId="30" xfId="0" applyFont="1" applyBorder="1" applyAlignment="1">
      <alignment horizontal="center" vertical="center" wrapText="1"/>
    </xf>
    <xf numFmtId="0" fontId="21" fillId="0" borderId="7" xfId="1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9" fillId="0" borderId="8" xfId="0" applyFont="1" applyBorder="1" applyAlignment="1">
      <alignment vertical="center" wrapText="1"/>
    </xf>
    <xf numFmtId="0" fontId="19" fillId="5" borderId="8" xfId="0" applyFont="1" applyFill="1" applyBorder="1" applyAlignment="1">
      <alignment vertical="center" wrapText="1"/>
    </xf>
    <xf numFmtId="0" fontId="22" fillId="0" borderId="8" xfId="0" applyFont="1" applyBorder="1" applyAlignment="1">
      <alignment wrapText="1"/>
    </xf>
    <xf numFmtId="0" fontId="22" fillId="0" borderId="8" xfId="0" applyFont="1" applyBorder="1"/>
    <xf numFmtId="0" fontId="18" fillId="0" borderId="8" xfId="0" applyFont="1" applyBorder="1"/>
    <xf numFmtId="0" fontId="18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5" fillId="0" borderId="28" xfId="0" applyFont="1" applyBorder="1" applyAlignment="1">
      <alignment vertical="center" wrapText="1"/>
    </xf>
    <xf numFmtId="0" fontId="11" fillId="0" borderId="30" xfId="0" applyFont="1" applyBorder="1"/>
    <xf numFmtId="0" fontId="5" fillId="0" borderId="35" xfId="0" applyFont="1" applyBorder="1"/>
    <xf numFmtId="0" fontId="5" fillId="0" borderId="0" xfId="0" applyFont="1"/>
    <xf numFmtId="0" fontId="5" fillId="0" borderId="0" xfId="0" applyFont="1" applyAlignment="1">
      <alignment vertical="center"/>
    </xf>
    <xf numFmtId="0" fontId="5" fillId="0" borderId="39" xfId="0" applyFont="1" applyBorder="1"/>
    <xf numFmtId="0" fontId="5" fillId="0" borderId="40" xfId="0" applyFont="1" applyBorder="1" applyAlignment="1">
      <alignment horizontal="right"/>
    </xf>
    <xf numFmtId="0" fontId="5" fillId="0" borderId="40" xfId="0" applyFont="1" applyBorder="1"/>
    <xf numFmtId="0" fontId="7" fillId="0" borderId="39" xfId="0" quotePrefix="1" applyFont="1" applyBorder="1"/>
    <xf numFmtId="0" fontId="5" fillId="0" borderId="40" xfId="0" applyFont="1" applyBorder="1" applyAlignment="1">
      <alignment horizontal="center"/>
    </xf>
    <xf numFmtId="0" fontId="1" fillId="0" borderId="40" xfId="0" applyFont="1" applyBorder="1" applyAlignment="1">
      <alignment horizontal="center" vertical="center" wrapText="1"/>
    </xf>
    <xf numFmtId="0" fontId="1" fillId="0" borderId="40" xfId="0" applyFont="1" applyBorder="1" applyAlignment="1">
      <alignment horizontal="center"/>
    </xf>
    <xf numFmtId="0" fontId="5" fillId="0" borderId="37" xfId="0" applyFont="1" applyBorder="1"/>
    <xf numFmtId="0" fontId="1" fillId="0" borderId="38" xfId="0" applyFont="1" applyBorder="1" applyAlignment="1">
      <alignment horizontal="center"/>
    </xf>
    <xf numFmtId="0" fontId="7" fillId="0" borderId="37" xfId="0" applyFont="1" applyBorder="1"/>
    <xf numFmtId="0" fontId="7" fillId="0" borderId="39" xfId="0" applyFont="1" applyBorder="1"/>
    <xf numFmtId="0" fontId="23" fillId="0" borderId="39" xfId="0" quotePrefix="1" applyFont="1" applyBorder="1"/>
    <xf numFmtId="0" fontId="5" fillId="0" borderId="36" xfId="0" applyFont="1" applyBorder="1"/>
    <xf numFmtId="0" fontId="5" fillId="0" borderId="0" xfId="0" applyFont="1" applyAlignment="1">
      <alignment horizontal="center" vertical="center"/>
    </xf>
    <xf numFmtId="0" fontId="5" fillId="0" borderId="45" xfId="0" applyFont="1" applyBorder="1"/>
    <xf numFmtId="0" fontId="1" fillId="0" borderId="47" xfId="0" applyFont="1" applyBorder="1" applyAlignment="1">
      <alignment horizontal="center" vertical="center"/>
    </xf>
    <xf numFmtId="0" fontId="5" fillId="0" borderId="50" xfId="0" applyFont="1" applyBorder="1"/>
    <xf numFmtId="0" fontId="24" fillId="0" borderId="0" xfId="0" applyFont="1"/>
    <xf numFmtId="0" fontId="25" fillId="0" borderId="7" xfId="0" applyFont="1" applyBorder="1" applyAlignment="1">
      <alignment vertical="center" wrapText="1"/>
    </xf>
    <xf numFmtId="0" fontId="26" fillId="0" borderId="7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26" fillId="0" borderId="7" xfId="0" applyFont="1" applyBorder="1" applyAlignment="1">
      <alignment vertical="center" wrapText="1"/>
    </xf>
    <xf numFmtId="0" fontId="5" fillId="0" borderId="18" xfId="0" applyFont="1" applyBorder="1" applyAlignment="1">
      <alignment horizontal="center" vertical="center"/>
    </xf>
    <xf numFmtId="0" fontId="2" fillId="0" borderId="18" xfId="0" applyFont="1" applyBorder="1"/>
    <xf numFmtId="0" fontId="1" fillId="0" borderId="8" xfId="0" applyFont="1" applyBorder="1" applyAlignment="1">
      <alignment horizontal="right" vertical="center" wrapText="1"/>
    </xf>
    <xf numFmtId="0" fontId="2" fillId="0" borderId="4" xfId="0" applyFont="1" applyBorder="1"/>
    <xf numFmtId="0" fontId="2" fillId="0" borderId="9" xfId="0" applyFont="1" applyBorder="1"/>
    <xf numFmtId="0" fontId="1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1" fillId="3" borderId="37" xfId="0" applyFont="1" applyFill="1" applyBorder="1" applyAlignment="1">
      <alignment horizontal="center" vertical="center" wrapText="1"/>
    </xf>
    <xf numFmtId="0" fontId="2" fillId="0" borderId="38" xfId="0" applyFont="1" applyBorder="1"/>
    <xf numFmtId="0" fontId="1" fillId="3" borderId="43" xfId="0" applyFont="1" applyFill="1" applyBorder="1" applyAlignment="1">
      <alignment horizontal="center"/>
    </xf>
    <xf numFmtId="0" fontId="2" fillId="0" borderId="44" xfId="0" applyFont="1" applyBorder="1"/>
    <xf numFmtId="0" fontId="5" fillId="0" borderId="37" xfId="0" applyFont="1" applyBorder="1" applyAlignment="1">
      <alignment vertical="center" wrapText="1"/>
    </xf>
    <xf numFmtId="0" fontId="5" fillId="0" borderId="37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2" fillId="3" borderId="14" xfId="0" applyFont="1" applyFill="1" applyBorder="1" applyAlignment="1">
      <alignment horizontal="center" vertical="center" wrapText="1"/>
    </xf>
    <xf numFmtId="0" fontId="2" fillId="0" borderId="15" xfId="0" applyFont="1" applyBorder="1"/>
    <xf numFmtId="0" fontId="2" fillId="0" borderId="16" xfId="0" applyFont="1" applyBorder="1"/>
    <xf numFmtId="0" fontId="7" fillId="0" borderId="3" xfId="0" applyFont="1" applyBorder="1" applyAlignment="1">
      <alignment horizontal="center"/>
    </xf>
    <xf numFmtId="0" fontId="2" fillId="0" borderId="5" xfId="0" applyFont="1" applyBorder="1"/>
    <xf numFmtId="0" fontId="5" fillId="0" borderId="3" xfId="0" applyFont="1" applyBorder="1" applyAlignment="1">
      <alignment horizontal="left" wrapText="1"/>
    </xf>
    <xf numFmtId="0" fontId="12" fillId="0" borderId="3" xfId="0" applyFont="1" applyBorder="1" applyAlignment="1">
      <alignment horizontal="center"/>
    </xf>
    <xf numFmtId="0" fontId="5" fillId="0" borderId="23" xfId="0" applyFont="1" applyBorder="1" applyAlignment="1">
      <alignment horizontal="center" vertical="center"/>
    </xf>
    <xf numFmtId="0" fontId="2" fillId="0" borderId="23" xfId="0" applyFont="1" applyBorder="1"/>
    <xf numFmtId="0" fontId="5" fillId="0" borderId="30" xfId="0" applyFont="1" applyBorder="1" applyAlignment="1">
      <alignment horizontal="center"/>
    </xf>
    <xf numFmtId="0" fontId="0" fillId="0" borderId="30" xfId="0" applyBorder="1"/>
    <xf numFmtId="0" fontId="2" fillId="0" borderId="30" xfId="0" applyFont="1" applyBorder="1"/>
    <xf numFmtId="0" fontId="5" fillId="0" borderId="25" xfId="0" applyFont="1" applyBorder="1" applyAlignment="1">
      <alignment horizontal="center" vertical="center"/>
    </xf>
    <xf numFmtId="0" fontId="2" fillId="0" borderId="25" xfId="0" applyFont="1" applyBorder="1"/>
    <xf numFmtId="0" fontId="1" fillId="0" borderId="46" xfId="0" applyFont="1" applyBorder="1" applyAlignment="1">
      <alignment horizontal="right" vertical="center"/>
    </xf>
    <xf numFmtId="0" fontId="2" fillId="0" borderId="47" xfId="0" applyFont="1" applyBorder="1"/>
    <xf numFmtId="0" fontId="1" fillId="0" borderId="48" xfId="0" applyFont="1" applyBorder="1" applyAlignment="1">
      <alignment horizontal="center"/>
    </xf>
    <xf numFmtId="0" fontId="2" fillId="0" borderId="48" xfId="0" applyFont="1" applyBorder="1"/>
    <xf numFmtId="0" fontId="2" fillId="0" borderId="49" xfId="0" applyFont="1" applyBorder="1"/>
    <xf numFmtId="0" fontId="12" fillId="0" borderId="1" xfId="0" applyFont="1" applyBorder="1" applyAlignment="1">
      <alignment horizontal="center"/>
    </xf>
    <xf numFmtId="0" fontId="0" fillId="0" borderId="0" xfId="0"/>
    <xf numFmtId="0" fontId="2" fillId="0" borderId="21" xfId="0" applyFont="1" applyBorder="1"/>
    <xf numFmtId="0" fontId="7" fillId="0" borderId="17" xfId="0" applyFont="1" applyBorder="1" applyAlignment="1">
      <alignment horizontal="center"/>
    </xf>
    <xf numFmtId="0" fontId="2" fillId="0" borderId="19" xfId="0" applyFont="1" applyBorder="1"/>
    <xf numFmtId="0" fontId="12" fillId="3" borderId="3" xfId="0" applyFont="1" applyFill="1" applyBorder="1" applyAlignment="1">
      <alignment horizontal="center" vertical="center" wrapText="1"/>
    </xf>
    <xf numFmtId="0" fontId="1" fillId="0" borderId="32" xfId="0" applyFont="1" applyBorder="1" applyAlignment="1">
      <alignment horizontal="center"/>
    </xf>
    <xf numFmtId="0" fontId="2" fillId="0" borderId="33" xfId="0" applyFont="1" applyBorder="1"/>
    <xf numFmtId="0" fontId="2" fillId="0" borderId="34" xfId="0" applyFont="1" applyBorder="1"/>
    <xf numFmtId="0" fontId="27" fillId="2" borderId="2" xfId="0" applyFont="1" applyFill="1" applyBorder="1" applyAlignment="1">
      <alignment horizontal="center" vertical="center"/>
    </xf>
    <xf numFmtId="0" fontId="2" fillId="0" borderId="36" xfId="0" applyFont="1" applyBorder="1"/>
    <xf numFmtId="0" fontId="5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horizontal="center"/>
    </xf>
    <xf numFmtId="0" fontId="1" fillId="0" borderId="3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1" xfId="0" applyFont="1" applyBorder="1" applyAlignment="1">
      <alignment horizontal="center" vertical="center" wrapText="1"/>
    </xf>
    <xf numFmtId="0" fontId="2" fillId="0" borderId="42" xfId="0" applyFont="1" applyBorder="1"/>
    <xf numFmtId="0" fontId="5" fillId="0" borderId="37" xfId="0" applyFont="1" applyBorder="1" applyAlignment="1">
      <alignment horizontal="center" vertical="center" wrapText="1"/>
    </xf>
    <xf numFmtId="0" fontId="1" fillId="3" borderId="37" xfId="0" applyFont="1" applyFill="1" applyBorder="1" applyAlignment="1">
      <alignment horizontal="center" vertical="center"/>
    </xf>
    <xf numFmtId="0" fontId="5" fillId="0" borderId="43" xfId="0" applyFont="1" applyBorder="1" applyAlignment="1">
      <alignment horizontal="center"/>
    </xf>
    <xf numFmtId="0" fontId="26" fillId="0" borderId="39" xfId="0" quotePrefix="1" applyFont="1" applyBorder="1"/>
    <xf numFmtId="0" fontId="26" fillId="0" borderId="6" xfId="0" quotePrefix="1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238125</xdr:colOff>
      <xdr:row>0</xdr:row>
      <xdr:rowOff>152400</xdr:rowOff>
    </xdr:from>
    <xdr:ext cx="2733675" cy="204787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uspdigital.usp.br/jupiterweb/obterDisciplina?sgldis=PTC3429&amp;codcur=3032&amp;codhab=5080" TargetMode="External"/><Relationship Id="rId18" Type="http://schemas.openxmlformats.org/officeDocument/2006/relationships/hyperlink" Target="https://uspdigital.usp.br/jupiterweb/obterDisciplina?sgldis=PCS3558&amp;codcur=3032&amp;codhab=5080" TargetMode="External"/><Relationship Id="rId26" Type="http://schemas.openxmlformats.org/officeDocument/2006/relationships/hyperlink" Target="https://uspdigital.usp.br/jupiterweb/obterDisciplina?nomdis=&amp;sgldis=PMR3508" TargetMode="External"/><Relationship Id="rId3" Type="http://schemas.openxmlformats.org/officeDocument/2006/relationships/hyperlink" Target="https://uspdigital.usp.br/jupiterweb/obterDisciplina?sgldis=PCS3573&amp;codcur=3032&amp;codhab=5080" TargetMode="External"/><Relationship Id="rId21" Type="http://schemas.openxmlformats.org/officeDocument/2006/relationships/hyperlink" Target="https://uspdigital.usp.br/jupiterweb/obterDisciplina?sgldis=PTC3405&amp;codcur=3032&amp;codhab=5080" TargetMode="External"/><Relationship Id="rId7" Type="http://schemas.openxmlformats.org/officeDocument/2006/relationships/hyperlink" Target="https://uspdigital.usp.br/jupiterweb/obterDisciplina?sgldis=PSI3501&amp;codcur=3032&amp;codhab=5080" TargetMode="External"/><Relationship Id="rId12" Type="http://schemas.openxmlformats.org/officeDocument/2006/relationships/hyperlink" Target="https://uspdigital.usp.br/jupiterweb/obterDisciplina?sgldis=PSI3483&amp;codcur=3032&amp;codhab=5080" TargetMode="External"/><Relationship Id="rId17" Type="http://schemas.openxmlformats.org/officeDocument/2006/relationships/hyperlink" Target="https://uspdigital.usp.br/jupiterweb/obterDisciplina?sgldis=PSI3541&amp;codcur=3032&amp;codhab=5080" TargetMode="External"/><Relationship Id="rId25" Type="http://schemas.openxmlformats.org/officeDocument/2006/relationships/hyperlink" Target="https://uspdigital.usp.br/jupiterweb/obterDisciplina?sgldis=PSI3532&amp;codcur=3032&amp;codhab=5080" TargetMode="External"/><Relationship Id="rId33" Type="http://schemas.openxmlformats.org/officeDocument/2006/relationships/drawing" Target="../drawings/drawing1.xml"/><Relationship Id="rId2" Type="http://schemas.openxmlformats.org/officeDocument/2006/relationships/hyperlink" Target="https://uspdigital.usp.br/jupiterweb/obterDisciplina?sgldis=PCS3848&amp;codcur=3122&amp;codhab=3000" TargetMode="External"/><Relationship Id="rId16" Type="http://schemas.openxmlformats.org/officeDocument/2006/relationships/hyperlink" Target="https://uspdigital.usp.br/jupiterweb/obterDisciplina?sgldis=PCS3722&amp;codcur=3122&amp;codhab=3000" TargetMode="External"/><Relationship Id="rId20" Type="http://schemas.openxmlformats.org/officeDocument/2006/relationships/hyperlink" Target="https://uspdigital.usp.br/jupiterweb/obterDisciplina?sgldis=PSI3542&amp;codcur=3032&amp;codhab=5080" TargetMode="External"/><Relationship Id="rId29" Type="http://schemas.openxmlformats.org/officeDocument/2006/relationships/hyperlink" Target="https://uspdigital.usp.br/jupiterweb/obterDisciplina?sgldis=PTC3444&amp;codcur=3032&amp;codhab=5080" TargetMode="External"/><Relationship Id="rId1" Type="http://schemas.openxmlformats.org/officeDocument/2006/relationships/hyperlink" Target="https://uspdigital.usp.br/jupiterweb/obterDisciplina?sgldis=PCS3412&amp;codcur=3032&amp;codhab=5080" TargetMode="External"/><Relationship Id="rId6" Type="http://schemas.openxmlformats.org/officeDocument/2006/relationships/hyperlink" Target="https://uspdigital.usp.br/jupiterweb/obterDisciplina?sgldis=PSI3432&amp;codcur=3032&amp;codhab=5080" TargetMode="External"/><Relationship Id="rId11" Type="http://schemas.openxmlformats.org/officeDocument/2006/relationships/hyperlink" Target="https://uspdigital.usp.br/jupiterweb/obterDisciplina?sgldis=PSI3581&amp;codcur=3032&amp;codhab=5080" TargetMode="External"/><Relationship Id="rId24" Type="http://schemas.openxmlformats.org/officeDocument/2006/relationships/hyperlink" Target="https://uspdigital.usp.br/jupiterweb/obterDisciplina?sgldis=PTC3451&amp;codcur=3032&amp;codhab=5080" TargetMode="External"/><Relationship Id="rId32" Type="http://schemas.openxmlformats.org/officeDocument/2006/relationships/printerSettings" Target="../printerSettings/printerSettings1.bin"/><Relationship Id="rId5" Type="http://schemas.openxmlformats.org/officeDocument/2006/relationships/hyperlink" Target="https://uspdigital.usp.br/jupiterweb/obterDisciplina?sgldis=PCS3838&amp;verdis=1" TargetMode="External"/><Relationship Id="rId15" Type="http://schemas.openxmlformats.org/officeDocument/2006/relationships/hyperlink" Target="https://uspdigital.usp.br/jupiterweb/obterDisciplina?nomdis=&amp;sgldis=PSI3561" TargetMode="External"/><Relationship Id="rId23" Type="http://schemas.openxmlformats.org/officeDocument/2006/relationships/hyperlink" Target="https://uspdigital.usp.br/jupiterweb/obterDisciplina?sgldis=PSI3572&amp;codcur=3032&amp;codhab=5080" TargetMode="External"/><Relationship Id="rId28" Type="http://schemas.openxmlformats.org/officeDocument/2006/relationships/hyperlink" Target="https://uspdigital.usp.br/jupiterweb/obterDisciplina?nomdis=&amp;sgldis=PSI3463" TargetMode="External"/><Relationship Id="rId10" Type="http://schemas.openxmlformats.org/officeDocument/2006/relationships/hyperlink" Target="https://uspdigital.usp.br/jupiterweb/obterDisciplina?sgldis=PSI3552&amp;codcur=3032&amp;codhab=5080" TargetMode="External"/><Relationship Id="rId19" Type="http://schemas.openxmlformats.org/officeDocument/2006/relationships/hyperlink" Target="https://uspdigital.usp.br/jupiterweb/obterDisciplina?sgldis=PSI3442&amp;codcur=3032&amp;codhab=5080" TargetMode="External"/><Relationship Id="rId31" Type="http://schemas.openxmlformats.org/officeDocument/2006/relationships/hyperlink" Target="https://uspdigital.usp.br/jupiterweb/obterDisciplina?sgldis=PSI3582&amp;codcur=3032&amp;codhab=5080" TargetMode="External"/><Relationship Id="rId4" Type="http://schemas.openxmlformats.org/officeDocument/2006/relationships/hyperlink" Target="https://uspdigital.usp.br/jupiterweb/obterDisciplina?sgldis=PSI3531&amp;codcur=3032&amp;codhab=5080" TargetMode="External"/><Relationship Id="rId9" Type="http://schemas.openxmlformats.org/officeDocument/2006/relationships/hyperlink" Target="https://uspdigital.usp.br/jupiterweb/obterDisciplina?sgldis=PSI3551&amp;codcur=3032&amp;codhab=5080" TargetMode="External"/><Relationship Id="rId14" Type="http://schemas.openxmlformats.org/officeDocument/2006/relationships/hyperlink" Target="https://uspdigital.usp.br/jupiterweb/obterDisciplina?nomdis=&amp;sgldis=PSI3560" TargetMode="External"/><Relationship Id="rId22" Type="http://schemas.openxmlformats.org/officeDocument/2006/relationships/hyperlink" Target="https://uspdigital.usp.br/jupiterweb/obterDisciplina?sgldis=0323150&amp;codcur=3032&amp;codhab=5080" TargetMode="External"/><Relationship Id="rId27" Type="http://schemas.openxmlformats.org/officeDocument/2006/relationships/hyperlink" Target="https://uspdigital.usp.br/jupiterweb/obterDisciplina?sgldis=PSI3452&amp;codcur=3032&amp;codhab=5080" TargetMode="External"/><Relationship Id="rId30" Type="http://schemas.openxmlformats.org/officeDocument/2006/relationships/hyperlink" Target="https://uspdigital.usp.br/jupiterweb/obterDisciplina?sgldis=PSI3482&amp;codcur=3032&amp;codhab=5080" TargetMode="External"/><Relationship Id="rId8" Type="http://schemas.openxmlformats.org/officeDocument/2006/relationships/hyperlink" Target="https://uspdigital.usp.br/jupiterweb/obterDisciplina?sgldis=PSI3571&amp;codcur=3032&amp;codhab=5080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spdigital.usp.br/jupiterweb/obterDisciplina?sgldis=PSI3542&amp;codcur=3032&amp;codhab=5080" TargetMode="External"/><Relationship Id="rId13" Type="http://schemas.openxmlformats.org/officeDocument/2006/relationships/hyperlink" Target="https://uspdigital.usp.br/jupiterweb/obterDisciplina?sgldis=PSI3432&amp;codcur=3032&amp;codhab=5080" TargetMode="External"/><Relationship Id="rId18" Type="http://schemas.openxmlformats.org/officeDocument/2006/relationships/hyperlink" Target="https://uspdigital.usp.br/jupiterweb/obterDisciplina?sgldis=PSI3571&amp;codcur=3032&amp;codhab=5080" TargetMode="External"/><Relationship Id="rId26" Type="http://schemas.openxmlformats.org/officeDocument/2006/relationships/hyperlink" Target="https://uspdigital.usp.br/jupiterweb/obterDisciplina?sgldis=PSI3482&amp;codcur=3032&amp;codhab=5080" TargetMode="External"/><Relationship Id="rId3" Type="http://schemas.openxmlformats.org/officeDocument/2006/relationships/hyperlink" Target="https://uspdigital.usp.br/jupiterweb/obterDisciplina?sgldis=PCS3848&amp;codcur=3122&amp;codhab=3000" TargetMode="External"/><Relationship Id="rId21" Type="http://schemas.openxmlformats.org/officeDocument/2006/relationships/hyperlink" Target="https://uspdigital.usp.br/jupiterweb/obterDisciplina?sgldis=PSI3452&amp;codcur=3032&amp;codhab=5080" TargetMode="External"/><Relationship Id="rId7" Type="http://schemas.openxmlformats.org/officeDocument/2006/relationships/hyperlink" Target="https://uspdigital.usp.br/jupiterweb/obterDisciplina?sgldis=PSI3442&amp;codcur=3032&amp;codhab=5080" TargetMode="External"/><Relationship Id="rId12" Type="http://schemas.openxmlformats.org/officeDocument/2006/relationships/hyperlink" Target="https://uspdigital.usp.br/jupiterweb/obterDisciplina?sgldis=PCS3838&amp;verdis=1" TargetMode="External"/><Relationship Id="rId17" Type="http://schemas.openxmlformats.org/officeDocument/2006/relationships/hyperlink" Target="https://uspdigital.usp.br/jupiterweb/obterDisciplina?sgldis=PSI3532&amp;codcur=3032&amp;codhab=5080" TargetMode="External"/><Relationship Id="rId25" Type="http://schemas.openxmlformats.org/officeDocument/2006/relationships/hyperlink" Target="https://uspdigital.usp.br/jupiterweb/obterDisciplina?sgldis=PTC3444&amp;codcur=3032&amp;codhab=5080" TargetMode="External"/><Relationship Id="rId2" Type="http://schemas.openxmlformats.org/officeDocument/2006/relationships/hyperlink" Target="https://uspdigital.usp.br/jupiterweb/obterDisciplina?sgldis=PCS3722&amp;codcur=3122&amp;codhab=3000" TargetMode="External"/><Relationship Id="rId16" Type="http://schemas.openxmlformats.org/officeDocument/2006/relationships/hyperlink" Target="https://uspdigital.usp.br/jupiterweb/obterDisciplina?sgldis=PSI3501&amp;codcur=3032&amp;codhab=5080" TargetMode="External"/><Relationship Id="rId20" Type="http://schemas.openxmlformats.org/officeDocument/2006/relationships/hyperlink" Target="https://uspdigital.usp.br/jupiterweb/obterDisciplina?sgldis=PSI3551&amp;codcur=3032&amp;codhab=5080" TargetMode="External"/><Relationship Id="rId29" Type="http://schemas.openxmlformats.org/officeDocument/2006/relationships/hyperlink" Target="https://uspdigital.usp.br/jupiterweb/obterDisciplina?sgldis=PTC3429&amp;codcur=3032&amp;codhab=5080" TargetMode="External"/><Relationship Id="rId1" Type="http://schemas.openxmlformats.org/officeDocument/2006/relationships/hyperlink" Target="https://uspdigital.usp.br/jupiterweb/obterDisciplina?sgldis=PCS3412&amp;codcur=3032&amp;codhab=5080" TargetMode="External"/><Relationship Id="rId6" Type="http://schemas.openxmlformats.org/officeDocument/2006/relationships/hyperlink" Target="https://uspdigital.usp.br/jupiterweb/obterDisciplina?sgldis=PCS3573&amp;codcur=3032&amp;codhab=5080" TargetMode="External"/><Relationship Id="rId11" Type="http://schemas.openxmlformats.org/officeDocument/2006/relationships/hyperlink" Target="https://uspdigital.usp.br/jupiterweb/obterDisciplina?sgldis=0323150&amp;codcur=3032&amp;codhab=5080" TargetMode="External"/><Relationship Id="rId24" Type="http://schemas.openxmlformats.org/officeDocument/2006/relationships/hyperlink" Target="https://uspdigital.usp.br/jupiterweb/obterDisciplina?sgldis=PSI3581&amp;codcur=3032&amp;codhab=5080" TargetMode="External"/><Relationship Id="rId32" Type="http://schemas.openxmlformats.org/officeDocument/2006/relationships/printerSettings" Target="../printerSettings/printerSettings2.bin"/><Relationship Id="rId5" Type="http://schemas.openxmlformats.org/officeDocument/2006/relationships/hyperlink" Target="https://uspdigital.usp.br/jupiterweb/obterDisciplina?sgldis=PCS3558&amp;codcur=3032&amp;codhab=5080" TargetMode="External"/><Relationship Id="rId15" Type="http://schemas.openxmlformats.org/officeDocument/2006/relationships/hyperlink" Target="https://uspdigital.usp.br/jupiterweb/obterDisciplina?sgldis=PTC3451&amp;codcur=3032&amp;codhab=5080" TargetMode="External"/><Relationship Id="rId23" Type="http://schemas.openxmlformats.org/officeDocument/2006/relationships/hyperlink" Target="https://uspdigital.usp.br/jupiterweb/obterDisciplina?nomdis=&amp;sgldis=PSI3463" TargetMode="External"/><Relationship Id="rId28" Type="http://schemas.openxmlformats.org/officeDocument/2006/relationships/hyperlink" Target="https://uspdigital.usp.br/jupiterweb/obterDisciplina?sgldis=PSI3582&amp;codcur=3032&amp;codhab=5080" TargetMode="External"/><Relationship Id="rId10" Type="http://schemas.openxmlformats.org/officeDocument/2006/relationships/hyperlink" Target="https://uspdigital.usp.br/jupiterweb/obterDisciplina?sgldis=PTC3405&amp;codcur=3032&amp;codhab=5080" TargetMode="External"/><Relationship Id="rId19" Type="http://schemas.openxmlformats.org/officeDocument/2006/relationships/hyperlink" Target="https://uspdigital.usp.br/jupiterweb/obterDisciplina?nomdis=&amp;sgldis=PMR3508" TargetMode="External"/><Relationship Id="rId31" Type="http://schemas.openxmlformats.org/officeDocument/2006/relationships/hyperlink" Target="https://uspdigital.usp.br/jupiterweb/obterDisciplina?nomdis=&amp;sgldis=PSI3561" TargetMode="External"/><Relationship Id="rId4" Type="http://schemas.openxmlformats.org/officeDocument/2006/relationships/hyperlink" Target="https://uspdigital.usp.br/jupiterweb/obterDisciplina?sgldis=PSI3541&amp;codcur=3032&amp;codhab=5080" TargetMode="External"/><Relationship Id="rId9" Type="http://schemas.openxmlformats.org/officeDocument/2006/relationships/hyperlink" Target="https://uspdigital.usp.br/jupiterweb/obterDisciplina?sgldis=PSI3531&amp;codcur=3032&amp;codhab=5080" TargetMode="External"/><Relationship Id="rId14" Type="http://schemas.openxmlformats.org/officeDocument/2006/relationships/hyperlink" Target="https://uspdigital.usp.br/jupiterweb/obterDisciplina?sgldis=PSI3572&amp;codcur=3032&amp;codhab=5080" TargetMode="External"/><Relationship Id="rId22" Type="http://schemas.openxmlformats.org/officeDocument/2006/relationships/hyperlink" Target="https://uspdigital.usp.br/jupiterweb/obterDisciplina?sgldis=PSI3552&amp;codcur=3032&amp;codhab=5080" TargetMode="External"/><Relationship Id="rId27" Type="http://schemas.openxmlformats.org/officeDocument/2006/relationships/hyperlink" Target="https://uspdigital.usp.br/jupiterweb/obterDisciplina?sgldis=PSI3483&amp;codcur=3032&amp;codhab=5080" TargetMode="External"/><Relationship Id="rId30" Type="http://schemas.openxmlformats.org/officeDocument/2006/relationships/hyperlink" Target="https://uspdigital.usp.br/jupiterweb/obterDisciplina?nomdis=&amp;sgldis=PSI356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tabSelected="1" topLeftCell="A18" workbookViewId="0">
      <selection activeCell="C59" sqref="C59"/>
    </sheetView>
  </sheetViews>
  <sheetFormatPr defaultColWidth="14.44140625" defaultRowHeight="15" customHeight="1"/>
  <cols>
    <col min="1" max="1" width="9.44140625" customWidth="1"/>
    <col min="2" max="2" width="55.109375" customWidth="1"/>
    <col min="3" max="3" width="25.6640625" customWidth="1"/>
    <col min="4" max="4" width="9.6640625" customWidth="1"/>
    <col min="5" max="5" width="5.6640625" customWidth="1"/>
    <col min="6" max="7" width="5.44140625" customWidth="1"/>
    <col min="8" max="8" width="6.6640625" customWidth="1"/>
    <col min="9" max="9" width="7.44140625" customWidth="1"/>
    <col min="10" max="10" width="9.109375" customWidth="1"/>
    <col min="11" max="12" width="8.6640625" customWidth="1"/>
    <col min="13" max="13" width="41.44140625" customWidth="1"/>
    <col min="14" max="26" width="8.6640625" customWidth="1"/>
  </cols>
  <sheetData>
    <row r="1" spans="1:26" ht="16.5" customHeight="1">
      <c r="A1" s="156" t="s">
        <v>0</v>
      </c>
      <c r="B1" s="157"/>
      <c r="C1" s="157"/>
      <c r="D1" s="157"/>
      <c r="E1" s="157"/>
      <c r="F1" s="157"/>
      <c r="G1" s="157"/>
      <c r="H1" s="157"/>
      <c r="I1" s="158"/>
      <c r="J1" s="1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6.5" customHeight="1">
      <c r="A2" s="92"/>
      <c r="B2" s="93"/>
      <c r="C2" s="93"/>
      <c r="D2" s="93"/>
      <c r="E2" s="93"/>
      <c r="F2" s="94"/>
      <c r="G2" s="94"/>
      <c r="H2" s="159" t="s">
        <v>1</v>
      </c>
      <c r="I2" s="160"/>
      <c r="J2" s="1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6.5" customHeight="1">
      <c r="A3" s="130" t="s">
        <v>2</v>
      </c>
      <c r="B3" s="120"/>
      <c r="C3" s="120"/>
      <c r="D3" s="120"/>
      <c r="E3" s="120"/>
      <c r="F3" s="120"/>
      <c r="G3" s="120"/>
      <c r="H3" s="120"/>
      <c r="I3" s="125"/>
      <c r="J3" s="1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6.5" customHeight="1">
      <c r="A4" s="129" t="s">
        <v>3</v>
      </c>
      <c r="B4" s="120"/>
      <c r="C4" s="120"/>
      <c r="D4" s="120"/>
      <c r="E4" s="120"/>
      <c r="F4" s="120"/>
      <c r="G4" s="120"/>
      <c r="H4" s="120"/>
      <c r="I4" s="125"/>
      <c r="J4" s="1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6.5" customHeight="1">
      <c r="A5" s="95" t="s">
        <v>4</v>
      </c>
      <c r="B5" s="3"/>
      <c r="C5" s="3" t="s">
        <v>5</v>
      </c>
      <c r="D5" s="4"/>
      <c r="E5" s="3"/>
      <c r="F5" s="161" t="s">
        <v>6</v>
      </c>
      <c r="G5" s="120"/>
      <c r="H5" s="121"/>
      <c r="I5" s="96" t="s">
        <v>7</v>
      </c>
      <c r="J5" s="1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6.5" customHeight="1">
      <c r="A6" s="95" t="s">
        <v>8</v>
      </c>
      <c r="B6" s="3"/>
      <c r="C6" s="3"/>
      <c r="D6" s="4"/>
      <c r="E6" s="3"/>
      <c r="F6" s="162" t="s">
        <v>9</v>
      </c>
      <c r="G6" s="120"/>
      <c r="H6" s="121"/>
      <c r="I6" s="96" t="s">
        <v>7</v>
      </c>
      <c r="J6" s="1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6.5" customHeight="1">
      <c r="A7" s="95" t="s">
        <v>10</v>
      </c>
      <c r="B7" s="3"/>
      <c r="C7" s="3"/>
      <c r="D7" s="4"/>
      <c r="E7" s="3"/>
      <c r="F7" s="162" t="s">
        <v>11</v>
      </c>
      <c r="G7" s="120"/>
      <c r="H7" s="121"/>
      <c r="I7" s="96" t="s">
        <v>12</v>
      </c>
      <c r="J7" s="1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6.5" customHeight="1">
      <c r="A8" s="95" t="s">
        <v>13</v>
      </c>
      <c r="B8" s="3"/>
      <c r="C8" s="3"/>
      <c r="D8" s="3"/>
      <c r="E8" s="4"/>
      <c r="F8" s="4"/>
      <c r="G8" s="4"/>
      <c r="H8" s="3"/>
      <c r="I8" s="97"/>
      <c r="J8" s="1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4">
      <c r="A9" s="163"/>
      <c r="B9" s="120"/>
      <c r="C9" s="120"/>
      <c r="D9" s="120"/>
      <c r="E9" s="120"/>
      <c r="F9" s="120"/>
      <c r="G9" s="120"/>
      <c r="H9" s="120"/>
      <c r="I9" s="125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4">
      <c r="A10" s="163" t="s">
        <v>14</v>
      </c>
      <c r="B10" s="121"/>
      <c r="C10" s="122" t="s">
        <v>15</v>
      </c>
      <c r="D10" s="122" t="s">
        <v>16</v>
      </c>
      <c r="E10" s="164" t="s">
        <v>17</v>
      </c>
      <c r="F10" s="120"/>
      <c r="G10" s="120"/>
      <c r="H10" s="121"/>
      <c r="I10" s="165" t="s">
        <v>18</v>
      </c>
      <c r="J10" s="5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4">
      <c r="A11" s="167" t="s">
        <v>19</v>
      </c>
      <c r="B11" s="121"/>
      <c r="C11" s="123"/>
      <c r="D11" s="123"/>
      <c r="E11" s="6" t="s">
        <v>20</v>
      </c>
      <c r="F11" s="6" t="s">
        <v>21</v>
      </c>
      <c r="G11" s="6" t="s">
        <v>22</v>
      </c>
      <c r="H11" s="6" t="s">
        <v>23</v>
      </c>
      <c r="I11" s="166"/>
      <c r="J11" s="5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4">
      <c r="A12" s="126" t="s">
        <v>24</v>
      </c>
      <c r="B12" s="118"/>
      <c r="C12" s="118"/>
      <c r="D12" s="118"/>
      <c r="E12" s="118"/>
      <c r="F12" s="118"/>
      <c r="G12" s="118"/>
      <c r="H12" s="118"/>
      <c r="I12" s="127"/>
      <c r="J12" s="5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4">
      <c r="A13" s="98" t="s">
        <v>25</v>
      </c>
      <c r="B13" s="8" t="s">
        <v>26</v>
      </c>
      <c r="C13" s="8"/>
      <c r="D13" s="8"/>
      <c r="E13" s="9">
        <v>4</v>
      </c>
      <c r="F13" s="9">
        <v>4</v>
      </c>
      <c r="G13" s="9"/>
      <c r="H13" s="9">
        <f t="shared" ref="H13:H17" si="0">SUM(E13:F13)</f>
        <v>8</v>
      </c>
      <c r="I13" s="99">
        <f t="shared" ref="I13:I17" si="1">E13*15+F13*30</f>
        <v>180</v>
      </c>
      <c r="J13" s="5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4">
      <c r="A14" s="112">
        <v>2000201</v>
      </c>
      <c r="B14" s="8" t="s">
        <v>27</v>
      </c>
      <c r="C14" s="8"/>
      <c r="D14" s="8"/>
      <c r="E14" s="9">
        <v>10</v>
      </c>
      <c r="F14" s="9"/>
      <c r="G14" s="9"/>
      <c r="H14" s="9">
        <f t="shared" si="0"/>
        <v>10</v>
      </c>
      <c r="I14" s="99">
        <f t="shared" si="1"/>
        <v>150</v>
      </c>
      <c r="J14" s="5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4">
      <c r="A15" s="98" t="s">
        <v>28</v>
      </c>
      <c r="B15" s="113" t="s">
        <v>193</v>
      </c>
      <c r="C15" s="8"/>
      <c r="D15" s="8"/>
      <c r="E15" s="114">
        <v>4</v>
      </c>
      <c r="F15" s="9"/>
      <c r="G15" s="9"/>
      <c r="H15" s="9">
        <f t="shared" si="0"/>
        <v>4</v>
      </c>
      <c r="I15" s="99">
        <f t="shared" si="1"/>
        <v>60</v>
      </c>
      <c r="J15" s="5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4">
      <c r="A16" s="106" t="s">
        <v>199</v>
      </c>
      <c r="B16" s="8" t="s">
        <v>30</v>
      </c>
      <c r="C16" s="8"/>
      <c r="D16" s="8"/>
      <c r="E16" s="9">
        <v>3</v>
      </c>
      <c r="F16" s="9"/>
      <c r="G16" s="9"/>
      <c r="H16" s="9">
        <f t="shared" si="0"/>
        <v>3</v>
      </c>
      <c r="I16" s="99">
        <f t="shared" si="1"/>
        <v>45</v>
      </c>
      <c r="J16" s="5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4">
      <c r="A17" s="170" t="s">
        <v>29</v>
      </c>
      <c r="B17" s="8" t="s">
        <v>32</v>
      </c>
      <c r="C17" s="8"/>
      <c r="D17" s="8"/>
      <c r="E17" s="9">
        <v>3</v>
      </c>
      <c r="F17" s="9"/>
      <c r="G17" s="9"/>
      <c r="H17" s="9">
        <f t="shared" si="0"/>
        <v>3</v>
      </c>
      <c r="I17" s="99">
        <f t="shared" si="1"/>
        <v>45</v>
      </c>
      <c r="J17" s="5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4">
      <c r="A18" s="95"/>
      <c r="B18" s="119" t="s">
        <v>33</v>
      </c>
      <c r="C18" s="120"/>
      <c r="D18" s="121"/>
      <c r="E18" s="6">
        <f t="shared" ref="E18:I18" si="2">SUM(E13:E17)</f>
        <v>24</v>
      </c>
      <c r="F18" s="6">
        <f t="shared" si="2"/>
        <v>4</v>
      </c>
      <c r="G18" s="6">
        <f t="shared" si="2"/>
        <v>0</v>
      </c>
      <c r="H18" s="6">
        <f t="shared" si="2"/>
        <v>28</v>
      </c>
      <c r="I18" s="100">
        <f t="shared" si="2"/>
        <v>480</v>
      </c>
      <c r="J18" s="5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4">
      <c r="A19" s="129"/>
      <c r="B19" s="120"/>
      <c r="C19" s="120"/>
      <c r="D19" s="120"/>
      <c r="E19" s="120"/>
      <c r="F19" s="120"/>
      <c r="G19" s="120"/>
      <c r="H19" s="120"/>
      <c r="I19" s="125"/>
      <c r="J19" s="5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4">
      <c r="A20" s="168" t="s">
        <v>34</v>
      </c>
      <c r="B20" s="120"/>
      <c r="C20" s="120"/>
      <c r="D20" s="120"/>
      <c r="E20" s="120"/>
      <c r="F20" s="120"/>
      <c r="G20" s="120"/>
      <c r="H20" s="120"/>
      <c r="I20" s="125"/>
      <c r="J20" s="5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5.75" customHeight="1">
      <c r="A21" s="98" t="s">
        <v>35</v>
      </c>
      <c r="B21" s="8" t="s">
        <v>36</v>
      </c>
      <c r="C21" s="8"/>
      <c r="D21" s="8"/>
      <c r="E21" s="9">
        <v>4</v>
      </c>
      <c r="F21" s="9">
        <v>4</v>
      </c>
      <c r="G21" s="9">
        <v>4</v>
      </c>
      <c r="H21" s="9">
        <f t="shared" ref="H21:H25" si="3">SUM(E21:F21)</f>
        <v>8</v>
      </c>
      <c r="I21" s="99">
        <f t="shared" ref="I21:I25" si="4">E21*15+F21*30</f>
        <v>180</v>
      </c>
      <c r="J21" s="5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5.75" customHeight="1">
      <c r="A22" s="112">
        <v>2000202</v>
      </c>
      <c r="B22" s="8" t="s">
        <v>37</v>
      </c>
      <c r="C22" s="8"/>
      <c r="D22" s="8"/>
      <c r="E22" s="115">
        <v>10</v>
      </c>
      <c r="F22" s="9"/>
      <c r="G22" s="9"/>
      <c r="H22" s="9">
        <f t="shared" si="3"/>
        <v>10</v>
      </c>
      <c r="I22" s="99">
        <f t="shared" si="4"/>
        <v>150</v>
      </c>
      <c r="J22" s="5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5.75" customHeight="1">
      <c r="A23" s="170" t="s">
        <v>31</v>
      </c>
      <c r="B23" s="113" t="s">
        <v>192</v>
      </c>
      <c r="C23" s="8"/>
      <c r="D23" s="8"/>
      <c r="E23" s="114">
        <v>4</v>
      </c>
      <c r="F23" s="9"/>
      <c r="G23" s="9"/>
      <c r="H23" s="9">
        <f t="shared" si="3"/>
        <v>4</v>
      </c>
      <c r="I23" s="99">
        <f t="shared" si="4"/>
        <v>60</v>
      </c>
      <c r="J23" s="5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5.75" customHeight="1">
      <c r="A24" s="170" t="s">
        <v>200</v>
      </c>
      <c r="B24" s="8" t="s">
        <v>39</v>
      </c>
      <c r="C24" s="8"/>
      <c r="D24" s="8"/>
      <c r="E24" s="9">
        <v>3</v>
      </c>
      <c r="F24" s="9"/>
      <c r="G24" s="9"/>
      <c r="H24" s="9">
        <f t="shared" si="3"/>
        <v>3</v>
      </c>
      <c r="I24" s="99">
        <f t="shared" si="4"/>
        <v>45</v>
      </c>
      <c r="J24" s="5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5.75" customHeight="1">
      <c r="A25" s="170" t="s">
        <v>38</v>
      </c>
      <c r="B25" s="8" t="s">
        <v>41</v>
      </c>
      <c r="C25" s="8"/>
      <c r="D25" s="8"/>
      <c r="E25" s="9">
        <v>3</v>
      </c>
      <c r="F25" s="9"/>
      <c r="G25" s="9"/>
      <c r="H25" s="9">
        <f t="shared" si="3"/>
        <v>3</v>
      </c>
      <c r="I25" s="99">
        <f t="shared" si="4"/>
        <v>45</v>
      </c>
      <c r="J25" s="5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5.75" customHeight="1">
      <c r="A26" s="95"/>
      <c r="B26" s="119" t="s">
        <v>33</v>
      </c>
      <c r="C26" s="120"/>
      <c r="D26" s="121"/>
      <c r="E26" s="6">
        <f t="shared" ref="E26:I26" si="5">SUM(E21:E25)</f>
        <v>24</v>
      </c>
      <c r="F26" s="6">
        <f t="shared" si="5"/>
        <v>4</v>
      </c>
      <c r="G26" s="6">
        <f t="shared" si="5"/>
        <v>4</v>
      </c>
      <c r="H26" s="6">
        <f t="shared" si="5"/>
        <v>28</v>
      </c>
      <c r="I26" s="101">
        <f t="shared" si="5"/>
        <v>480</v>
      </c>
      <c r="J26" s="5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5.75" customHeight="1">
      <c r="A27" s="130"/>
      <c r="B27" s="120"/>
      <c r="C27" s="120"/>
      <c r="D27" s="120"/>
      <c r="E27" s="120"/>
      <c r="F27" s="120"/>
      <c r="G27" s="120"/>
      <c r="H27" s="120"/>
      <c r="I27" s="125"/>
      <c r="J27" s="5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6.5" customHeight="1">
      <c r="A28" s="128" t="s">
        <v>42</v>
      </c>
      <c r="B28" s="121"/>
      <c r="C28" s="122" t="s">
        <v>15</v>
      </c>
      <c r="D28" s="122" t="s">
        <v>16</v>
      </c>
      <c r="E28" s="164" t="s">
        <v>17</v>
      </c>
      <c r="F28" s="120"/>
      <c r="G28" s="120"/>
      <c r="H28" s="121"/>
      <c r="I28" s="165" t="s">
        <v>18</v>
      </c>
      <c r="J28" s="1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.5" customHeight="1">
      <c r="A29" s="128" t="s">
        <v>43</v>
      </c>
      <c r="B29" s="121"/>
      <c r="C29" s="123"/>
      <c r="D29" s="123"/>
      <c r="E29" s="6" t="s">
        <v>20</v>
      </c>
      <c r="F29" s="6" t="s">
        <v>21</v>
      </c>
      <c r="G29" s="6" t="s">
        <v>22</v>
      </c>
      <c r="H29" s="6" t="s">
        <v>23</v>
      </c>
      <c r="I29" s="166"/>
      <c r="J29" s="1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.5" customHeight="1">
      <c r="A30" s="168" t="s">
        <v>44</v>
      </c>
      <c r="B30" s="120"/>
      <c r="C30" s="120"/>
      <c r="D30" s="120"/>
      <c r="E30" s="120"/>
      <c r="F30" s="120"/>
      <c r="G30" s="120"/>
      <c r="H30" s="120"/>
      <c r="I30" s="125"/>
      <c r="J30" s="1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.5" customHeight="1">
      <c r="A31" s="98" t="s">
        <v>45</v>
      </c>
      <c r="B31" s="8" t="s">
        <v>46</v>
      </c>
      <c r="C31" s="7" t="s">
        <v>35</v>
      </c>
      <c r="D31" s="8"/>
      <c r="E31" s="9">
        <v>4</v>
      </c>
      <c r="F31" s="9">
        <v>4</v>
      </c>
      <c r="G31" s="9"/>
      <c r="H31" s="9">
        <f t="shared" ref="H31:H35" si="6">SUM(E31:F31)</f>
        <v>8</v>
      </c>
      <c r="I31" s="99">
        <f t="shared" ref="I31:I35" si="7">E31*15+F31*30</f>
        <v>180</v>
      </c>
      <c r="J31" s="1"/>
      <c r="K31" s="2"/>
      <c r="L31" s="2"/>
      <c r="M31" s="11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.5" customHeight="1">
      <c r="A32" s="112">
        <v>2000203</v>
      </c>
      <c r="B32" s="8" t="s">
        <v>47</v>
      </c>
      <c r="C32" s="112">
        <v>2000202</v>
      </c>
      <c r="D32" s="8"/>
      <c r="E32" s="9">
        <v>10</v>
      </c>
      <c r="F32" s="9"/>
      <c r="G32" s="9"/>
      <c r="H32" s="9">
        <f t="shared" si="6"/>
        <v>10</v>
      </c>
      <c r="I32" s="99">
        <f t="shared" si="7"/>
        <v>150</v>
      </c>
      <c r="J32" s="1"/>
      <c r="K32" s="2"/>
      <c r="L32" s="2"/>
      <c r="M32" s="1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8" customHeight="1">
      <c r="A33" s="98" t="s">
        <v>48</v>
      </c>
      <c r="B33" s="113" t="s">
        <v>194</v>
      </c>
      <c r="C33" s="171" t="s">
        <v>31</v>
      </c>
      <c r="D33" s="8"/>
      <c r="E33" s="114">
        <v>4</v>
      </c>
      <c r="F33" s="9"/>
      <c r="G33" s="9"/>
      <c r="H33" s="9">
        <f t="shared" si="6"/>
        <v>4</v>
      </c>
      <c r="I33" s="99">
        <f t="shared" si="7"/>
        <v>60</v>
      </c>
      <c r="J33" s="1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5.75" customHeight="1">
      <c r="A34" s="98" t="s">
        <v>49</v>
      </c>
      <c r="B34" s="116" t="s">
        <v>197</v>
      </c>
      <c r="C34" s="7" t="s">
        <v>35</v>
      </c>
      <c r="D34" s="8"/>
      <c r="E34" s="9">
        <v>3</v>
      </c>
      <c r="F34" s="9"/>
      <c r="G34" s="9"/>
      <c r="H34" s="9">
        <f t="shared" si="6"/>
        <v>3</v>
      </c>
      <c r="I34" s="99">
        <f t="shared" si="7"/>
        <v>45</v>
      </c>
      <c r="J34" s="1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.5" customHeight="1">
      <c r="A35" s="98" t="s">
        <v>50</v>
      </c>
      <c r="B35" s="116" t="s">
        <v>195</v>
      </c>
      <c r="C35" s="171" t="s">
        <v>31</v>
      </c>
      <c r="D35" s="8"/>
      <c r="E35" s="9">
        <v>3</v>
      </c>
      <c r="F35" s="9"/>
      <c r="G35" s="9"/>
      <c r="H35" s="9">
        <f t="shared" si="6"/>
        <v>3</v>
      </c>
      <c r="I35" s="99">
        <f t="shared" si="7"/>
        <v>45</v>
      </c>
      <c r="J35" s="1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.5" customHeight="1">
      <c r="A36" s="95"/>
      <c r="B36" s="119" t="s">
        <v>33</v>
      </c>
      <c r="C36" s="120"/>
      <c r="D36" s="121"/>
      <c r="E36" s="6">
        <f t="shared" ref="E36:I36" si="8">SUM(E31:E35)</f>
        <v>24</v>
      </c>
      <c r="F36" s="6">
        <f t="shared" si="8"/>
        <v>4</v>
      </c>
      <c r="G36" s="6">
        <f t="shared" si="8"/>
        <v>0</v>
      </c>
      <c r="H36" s="6">
        <f t="shared" si="8"/>
        <v>28</v>
      </c>
      <c r="I36" s="101">
        <f t="shared" si="8"/>
        <v>480</v>
      </c>
      <c r="J36" s="1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5.75" customHeight="1">
      <c r="A37" s="130"/>
      <c r="B37" s="120"/>
      <c r="C37" s="120"/>
      <c r="D37" s="120"/>
      <c r="E37" s="120"/>
      <c r="F37" s="120"/>
      <c r="G37" s="120"/>
      <c r="H37" s="120"/>
      <c r="I37" s="125"/>
      <c r="J37" s="5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.5" customHeight="1">
      <c r="A38" s="124" t="s">
        <v>51</v>
      </c>
      <c r="B38" s="120"/>
      <c r="C38" s="120"/>
      <c r="D38" s="120"/>
      <c r="E38" s="120"/>
      <c r="F38" s="120"/>
      <c r="G38" s="120"/>
      <c r="H38" s="120"/>
      <c r="I38" s="125"/>
      <c r="J38" s="1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.5" customHeight="1">
      <c r="A39" s="98" t="s">
        <v>52</v>
      </c>
      <c r="B39" s="8" t="s">
        <v>53</v>
      </c>
      <c r="C39" s="13"/>
      <c r="D39" s="8"/>
      <c r="E39" s="9">
        <v>4</v>
      </c>
      <c r="F39" s="9">
        <v>4</v>
      </c>
      <c r="G39" s="9">
        <v>4</v>
      </c>
      <c r="H39" s="9">
        <f t="shared" ref="H39:H43" si="9">SUM(E39:F39)</f>
        <v>8</v>
      </c>
      <c r="I39" s="99">
        <f t="shared" ref="I39:I43" si="10">E39*15+F39*30</f>
        <v>180</v>
      </c>
      <c r="J39" s="1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5.75" customHeight="1">
      <c r="A40" s="112">
        <v>2000204</v>
      </c>
      <c r="B40" s="8" t="s">
        <v>54</v>
      </c>
      <c r="C40" s="112">
        <v>2000202</v>
      </c>
      <c r="D40" s="8"/>
      <c r="E40" s="9">
        <v>10</v>
      </c>
      <c r="F40" s="9"/>
      <c r="G40" s="9"/>
      <c r="H40" s="9">
        <f t="shared" si="9"/>
        <v>10</v>
      </c>
      <c r="I40" s="99">
        <f t="shared" si="10"/>
        <v>150</v>
      </c>
      <c r="J40" s="1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5.75" customHeight="1">
      <c r="A41" s="98" t="s">
        <v>55</v>
      </c>
      <c r="B41" s="8" t="s">
        <v>56</v>
      </c>
      <c r="C41" s="170" t="s">
        <v>31</v>
      </c>
      <c r="D41" s="8"/>
      <c r="E41" s="9">
        <v>3</v>
      </c>
      <c r="F41" s="9"/>
      <c r="G41" s="9"/>
      <c r="H41" s="9">
        <f t="shared" si="9"/>
        <v>3</v>
      </c>
      <c r="I41" s="99">
        <f t="shared" si="10"/>
        <v>45</v>
      </c>
      <c r="J41" s="1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.5" customHeight="1">
      <c r="A42" s="98" t="s">
        <v>57</v>
      </c>
      <c r="B42" s="15" t="s">
        <v>58</v>
      </c>
      <c r="C42" s="8"/>
      <c r="D42" s="8"/>
      <c r="E42" s="9">
        <v>3</v>
      </c>
      <c r="F42" s="9"/>
      <c r="G42" s="9"/>
      <c r="H42" s="9">
        <f t="shared" si="9"/>
        <v>3</v>
      </c>
      <c r="I42" s="99">
        <f t="shared" si="10"/>
        <v>45</v>
      </c>
      <c r="J42" s="1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5.75" customHeight="1">
      <c r="A43" s="98" t="s">
        <v>59</v>
      </c>
      <c r="B43" s="116" t="s">
        <v>196</v>
      </c>
      <c r="C43" s="14"/>
      <c r="D43" s="8"/>
      <c r="E43" s="9">
        <v>3</v>
      </c>
      <c r="F43" s="9"/>
      <c r="G43" s="9"/>
      <c r="H43" s="9">
        <f t="shared" si="9"/>
        <v>3</v>
      </c>
      <c r="I43" s="99">
        <f t="shared" si="10"/>
        <v>45</v>
      </c>
      <c r="J43" s="1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.5" customHeight="1">
      <c r="A44" s="95"/>
      <c r="B44" s="119" t="s">
        <v>33</v>
      </c>
      <c r="C44" s="120"/>
      <c r="D44" s="121"/>
      <c r="E44" s="6">
        <f>SUM(E39:E43)</f>
        <v>23</v>
      </c>
      <c r="F44" s="6">
        <f t="shared" ref="F44:G44" si="11">SUM(F38:F43)</f>
        <v>4</v>
      </c>
      <c r="G44" s="6">
        <f t="shared" si="11"/>
        <v>4</v>
      </c>
      <c r="H44" s="6">
        <f t="shared" ref="H44:I44" si="12">SUM(H39:H43)</f>
        <v>27</v>
      </c>
      <c r="I44" s="101">
        <f t="shared" si="12"/>
        <v>465</v>
      </c>
      <c r="J44" s="1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.5" customHeight="1">
      <c r="A45" s="169"/>
      <c r="B45" s="118"/>
      <c r="C45" s="118"/>
      <c r="D45" s="118"/>
      <c r="E45" s="118"/>
      <c r="F45" s="118"/>
      <c r="G45" s="118"/>
      <c r="H45" s="118"/>
      <c r="I45" s="127"/>
      <c r="J45" s="1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.5" customHeight="1">
      <c r="A46" s="128" t="s">
        <v>42</v>
      </c>
      <c r="B46" s="121"/>
      <c r="C46" s="122" t="s">
        <v>15</v>
      </c>
      <c r="D46" s="122" t="s">
        <v>16</v>
      </c>
      <c r="E46" s="164" t="s">
        <v>17</v>
      </c>
      <c r="F46" s="120"/>
      <c r="G46" s="120"/>
      <c r="H46" s="121"/>
      <c r="I46" s="165" t="s">
        <v>18</v>
      </c>
      <c r="J46" s="1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.5" customHeight="1">
      <c r="A47" s="128" t="s">
        <v>43</v>
      </c>
      <c r="B47" s="121"/>
      <c r="C47" s="123"/>
      <c r="D47" s="123"/>
      <c r="E47" s="6" t="s">
        <v>20</v>
      </c>
      <c r="F47" s="6" t="s">
        <v>21</v>
      </c>
      <c r="G47" s="6" t="s">
        <v>22</v>
      </c>
      <c r="H47" s="6" t="s">
        <v>23</v>
      </c>
      <c r="I47" s="166"/>
      <c r="J47" s="1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.5" customHeight="1">
      <c r="A48" s="124" t="s">
        <v>60</v>
      </c>
      <c r="B48" s="120"/>
      <c r="C48" s="120"/>
      <c r="D48" s="120"/>
      <c r="E48" s="120"/>
      <c r="F48" s="120"/>
      <c r="G48" s="120"/>
      <c r="H48" s="120"/>
      <c r="I48" s="125"/>
      <c r="J48" s="1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.5" customHeight="1">
      <c r="A49" s="98" t="s">
        <v>61</v>
      </c>
      <c r="B49" s="8" t="s">
        <v>62</v>
      </c>
      <c r="C49" s="7" t="s">
        <v>52</v>
      </c>
      <c r="D49" s="8"/>
      <c r="E49" s="9">
        <v>4</v>
      </c>
      <c r="F49" s="9">
        <v>4</v>
      </c>
      <c r="G49" s="9"/>
      <c r="H49" s="9">
        <f t="shared" ref="H49:H53" si="13">SUM(E49:F49)</f>
        <v>8</v>
      </c>
      <c r="I49" s="99">
        <f t="shared" ref="I49:I53" si="14">E49*15+F49*30</f>
        <v>180</v>
      </c>
      <c r="J49" s="1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5.75" customHeight="1">
      <c r="A50" s="112">
        <v>2000205</v>
      </c>
      <c r="B50" s="8" t="s">
        <v>63</v>
      </c>
      <c r="C50" s="112">
        <v>2000204</v>
      </c>
      <c r="D50" s="8"/>
      <c r="E50" s="114">
        <v>11</v>
      </c>
      <c r="F50" s="9"/>
      <c r="G50" s="9"/>
      <c r="H50" s="9">
        <f t="shared" si="13"/>
        <v>11</v>
      </c>
      <c r="I50" s="99">
        <f t="shared" si="14"/>
        <v>165</v>
      </c>
      <c r="J50" s="1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5.75" customHeight="1">
      <c r="A51" s="98" t="s">
        <v>64</v>
      </c>
      <c r="B51" s="8" t="s">
        <v>65</v>
      </c>
      <c r="C51" s="13"/>
      <c r="D51" s="8"/>
      <c r="E51" s="9">
        <v>3</v>
      </c>
      <c r="F51" s="9"/>
      <c r="G51" s="9"/>
      <c r="H51" s="9">
        <f t="shared" si="13"/>
        <v>3</v>
      </c>
      <c r="I51" s="99">
        <f t="shared" si="14"/>
        <v>45</v>
      </c>
      <c r="J51" s="1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5.75" customHeight="1">
      <c r="A52" s="98" t="s">
        <v>66</v>
      </c>
      <c r="B52" s="15" t="s">
        <v>67</v>
      </c>
      <c r="C52" s="7" t="s">
        <v>49</v>
      </c>
      <c r="D52" s="8"/>
      <c r="E52" s="9">
        <v>3</v>
      </c>
      <c r="F52" s="9"/>
      <c r="G52" s="9"/>
      <c r="H52" s="9">
        <f t="shared" si="13"/>
        <v>3</v>
      </c>
      <c r="I52" s="99">
        <f t="shared" si="14"/>
        <v>45</v>
      </c>
      <c r="J52" s="1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.5" customHeight="1">
      <c r="A53" s="98" t="s">
        <v>68</v>
      </c>
      <c r="B53" s="113" t="s">
        <v>198</v>
      </c>
      <c r="C53" s="7" t="s">
        <v>49</v>
      </c>
      <c r="D53" s="8"/>
      <c r="E53" s="9">
        <v>3</v>
      </c>
      <c r="F53" s="9"/>
      <c r="G53" s="9"/>
      <c r="H53" s="9">
        <f t="shared" si="13"/>
        <v>3</v>
      </c>
      <c r="I53" s="99">
        <f t="shared" si="14"/>
        <v>45</v>
      </c>
      <c r="J53" s="1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.5" customHeight="1">
      <c r="A54" s="95"/>
      <c r="B54" s="119" t="s">
        <v>33</v>
      </c>
      <c r="C54" s="120"/>
      <c r="D54" s="121"/>
      <c r="E54" s="6">
        <f t="shared" ref="E54:I54" si="15">SUM(E49:E53)</f>
        <v>24</v>
      </c>
      <c r="F54" s="6">
        <f t="shared" si="15"/>
        <v>4</v>
      </c>
      <c r="G54" s="6">
        <f t="shared" si="15"/>
        <v>0</v>
      </c>
      <c r="H54" s="6">
        <f t="shared" si="15"/>
        <v>28</v>
      </c>
      <c r="I54" s="101">
        <f t="shared" si="15"/>
        <v>480</v>
      </c>
      <c r="J54" s="1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.5" customHeight="1">
      <c r="A55" s="129"/>
      <c r="B55" s="120"/>
      <c r="C55" s="120"/>
      <c r="D55" s="120"/>
      <c r="E55" s="120"/>
      <c r="F55" s="120"/>
      <c r="G55" s="120"/>
      <c r="H55" s="120"/>
      <c r="I55" s="125"/>
      <c r="J55" s="1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.5" customHeight="1">
      <c r="A56" s="124" t="s">
        <v>69</v>
      </c>
      <c r="B56" s="120"/>
      <c r="C56" s="120"/>
      <c r="D56" s="120"/>
      <c r="E56" s="120"/>
      <c r="F56" s="120"/>
      <c r="G56" s="120"/>
      <c r="H56" s="120"/>
      <c r="I56" s="125"/>
      <c r="J56" s="1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.5" customHeight="1">
      <c r="A57" s="98" t="s">
        <v>70</v>
      </c>
      <c r="B57" s="8" t="s">
        <v>71</v>
      </c>
      <c r="C57" s="13"/>
      <c r="D57" s="8"/>
      <c r="E57" s="9">
        <v>4</v>
      </c>
      <c r="F57" s="9">
        <v>4</v>
      </c>
      <c r="G57" s="9">
        <v>4</v>
      </c>
      <c r="H57" s="9">
        <f t="shared" ref="H57:H61" si="16">SUM(E57:F57)</f>
        <v>8</v>
      </c>
      <c r="I57" s="99">
        <f t="shared" ref="I57:I61" si="17">E57*15+F57*30</f>
        <v>180</v>
      </c>
      <c r="J57" s="1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.5" customHeight="1">
      <c r="A58" s="112">
        <v>2000206</v>
      </c>
      <c r="B58" s="8" t="s">
        <v>72</v>
      </c>
      <c r="C58" s="13"/>
      <c r="D58" s="8"/>
      <c r="E58" s="9">
        <v>10</v>
      </c>
      <c r="F58" s="9"/>
      <c r="G58" s="9"/>
      <c r="H58" s="9">
        <f t="shared" si="16"/>
        <v>10</v>
      </c>
      <c r="I58" s="99">
        <f t="shared" si="17"/>
        <v>150</v>
      </c>
      <c r="J58" s="1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.5" customHeight="1">
      <c r="A59" s="98" t="s">
        <v>73</v>
      </c>
      <c r="B59" s="8" t="s">
        <v>74</v>
      </c>
      <c r="C59" s="7" t="s">
        <v>59</v>
      </c>
      <c r="D59" s="8"/>
      <c r="E59" s="9">
        <v>3</v>
      </c>
      <c r="F59" s="9"/>
      <c r="G59" s="9"/>
      <c r="H59" s="9">
        <f t="shared" si="16"/>
        <v>3</v>
      </c>
      <c r="I59" s="99">
        <f t="shared" si="17"/>
        <v>45</v>
      </c>
      <c r="J59" s="1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.5" customHeight="1">
      <c r="A60" s="98" t="s">
        <v>75</v>
      </c>
      <c r="B60" s="15" t="s">
        <v>76</v>
      </c>
      <c r="C60" s="14"/>
      <c r="D60" s="8"/>
      <c r="E60" s="9">
        <v>3</v>
      </c>
      <c r="F60" s="9"/>
      <c r="G60" s="9"/>
      <c r="H60" s="9">
        <f t="shared" si="16"/>
        <v>3</v>
      </c>
      <c r="I60" s="99">
        <f t="shared" si="17"/>
        <v>45</v>
      </c>
      <c r="J60" s="1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5.75" customHeight="1">
      <c r="A61" s="98" t="s">
        <v>77</v>
      </c>
      <c r="B61" s="8" t="s">
        <v>78</v>
      </c>
      <c r="C61" s="16" t="s">
        <v>79</v>
      </c>
      <c r="D61" s="8"/>
      <c r="E61" s="9">
        <v>3</v>
      </c>
      <c r="F61" s="9"/>
      <c r="G61" s="9"/>
      <c r="H61" s="9">
        <f t="shared" si="16"/>
        <v>3</v>
      </c>
      <c r="I61" s="99">
        <f t="shared" si="17"/>
        <v>45</v>
      </c>
      <c r="J61" s="1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.5" customHeight="1">
      <c r="A62" s="95"/>
      <c r="B62" s="119" t="s">
        <v>33</v>
      </c>
      <c r="C62" s="120"/>
      <c r="D62" s="121"/>
      <c r="E62" s="6">
        <f t="shared" ref="E62:I62" si="18">SUM(E57:E61)</f>
        <v>23</v>
      </c>
      <c r="F62" s="6">
        <f t="shared" si="18"/>
        <v>4</v>
      </c>
      <c r="G62" s="6">
        <f t="shared" si="18"/>
        <v>4</v>
      </c>
      <c r="H62" s="6">
        <f t="shared" si="18"/>
        <v>27</v>
      </c>
      <c r="I62" s="101">
        <f t="shared" si="18"/>
        <v>465</v>
      </c>
      <c r="J62" s="1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.5" customHeight="1">
      <c r="A63" s="102"/>
      <c r="B63" s="17"/>
      <c r="C63" s="17"/>
      <c r="D63" s="17"/>
      <c r="E63" s="18"/>
      <c r="F63" s="18"/>
      <c r="G63" s="18"/>
      <c r="H63" s="18"/>
      <c r="I63" s="103"/>
      <c r="J63" s="1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.5" customHeight="1">
      <c r="A64" s="124" t="s">
        <v>80</v>
      </c>
      <c r="B64" s="120"/>
      <c r="C64" s="120"/>
      <c r="D64" s="120"/>
      <c r="E64" s="120"/>
      <c r="F64" s="120"/>
      <c r="G64" s="120"/>
      <c r="H64" s="120"/>
      <c r="I64" s="125"/>
      <c r="J64" s="1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.5" customHeight="1">
      <c r="A65" s="98" t="s">
        <v>81</v>
      </c>
      <c r="B65" s="8" t="s">
        <v>82</v>
      </c>
      <c r="C65" s="7" t="s">
        <v>70</v>
      </c>
      <c r="D65" s="8"/>
      <c r="E65" s="9">
        <v>4</v>
      </c>
      <c r="F65" s="9">
        <v>4</v>
      </c>
      <c r="G65" s="9"/>
      <c r="H65" s="9">
        <f t="shared" ref="H65:H69" si="19">SUM(E65:F65)</f>
        <v>8</v>
      </c>
      <c r="I65" s="99">
        <f t="shared" ref="I65:I69" si="20">E65*15+F65*30</f>
        <v>180</v>
      </c>
      <c r="J65" s="1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.5" customHeight="1">
      <c r="A66" s="104" t="s">
        <v>83</v>
      </c>
      <c r="B66" s="13" t="s">
        <v>84</v>
      </c>
      <c r="C66" s="7" t="s">
        <v>73</v>
      </c>
      <c r="D66" s="8"/>
      <c r="E66" s="9">
        <v>4</v>
      </c>
      <c r="F66" s="9"/>
      <c r="G66" s="9"/>
      <c r="H66" s="9">
        <f t="shared" si="19"/>
        <v>4</v>
      </c>
      <c r="I66" s="99">
        <f t="shared" si="20"/>
        <v>60</v>
      </c>
      <c r="J66" s="1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.5" customHeight="1">
      <c r="A67" s="104" t="s">
        <v>85</v>
      </c>
      <c r="B67" s="13" t="s">
        <v>86</v>
      </c>
      <c r="C67" s="7" t="s">
        <v>40</v>
      </c>
      <c r="D67" s="8"/>
      <c r="E67" s="9">
        <v>4</v>
      </c>
      <c r="F67" s="9"/>
      <c r="G67" s="9"/>
      <c r="H67" s="9">
        <f t="shared" si="19"/>
        <v>4</v>
      </c>
      <c r="I67" s="99">
        <f t="shared" si="20"/>
        <v>60</v>
      </c>
      <c r="J67" s="1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.5" customHeight="1">
      <c r="A68" s="104" t="s">
        <v>87</v>
      </c>
      <c r="B68" s="13" t="s">
        <v>88</v>
      </c>
      <c r="C68" s="7" t="s">
        <v>75</v>
      </c>
      <c r="D68" s="8"/>
      <c r="E68" s="9">
        <v>4</v>
      </c>
      <c r="F68" s="9"/>
      <c r="G68" s="9"/>
      <c r="H68" s="9">
        <f t="shared" si="19"/>
        <v>4</v>
      </c>
      <c r="I68" s="99">
        <f t="shared" si="20"/>
        <v>60</v>
      </c>
      <c r="J68" s="1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5.75" customHeight="1">
      <c r="A69" s="104" t="s">
        <v>89</v>
      </c>
      <c r="B69" s="13" t="s">
        <v>90</v>
      </c>
      <c r="C69" s="7" t="s">
        <v>64</v>
      </c>
      <c r="D69" s="8"/>
      <c r="E69" s="9">
        <v>4</v>
      </c>
      <c r="F69" s="9"/>
      <c r="G69" s="9"/>
      <c r="H69" s="9">
        <f t="shared" si="19"/>
        <v>4</v>
      </c>
      <c r="I69" s="99">
        <f t="shared" si="20"/>
        <v>60</v>
      </c>
      <c r="J69" s="1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.5" customHeight="1">
      <c r="A70" s="95"/>
      <c r="B70" s="119" t="s">
        <v>33</v>
      </c>
      <c r="C70" s="120"/>
      <c r="D70" s="121"/>
      <c r="E70" s="6">
        <f t="shared" ref="E70:I70" si="21">SUM(E65:E69)</f>
        <v>20</v>
      </c>
      <c r="F70" s="6">
        <f t="shared" si="21"/>
        <v>4</v>
      </c>
      <c r="G70" s="6">
        <f t="shared" si="21"/>
        <v>0</v>
      </c>
      <c r="H70" s="6">
        <f t="shared" si="21"/>
        <v>24</v>
      </c>
      <c r="I70" s="101">
        <f t="shared" si="21"/>
        <v>420</v>
      </c>
      <c r="J70" s="1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.5" customHeight="1">
      <c r="A71" s="102"/>
      <c r="B71" s="17"/>
      <c r="C71" s="17"/>
      <c r="D71" s="17"/>
      <c r="E71" s="18"/>
      <c r="F71" s="18"/>
      <c r="G71" s="18"/>
      <c r="H71" s="18"/>
      <c r="I71" s="103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.5" customHeight="1">
      <c r="A72" s="124" t="s">
        <v>91</v>
      </c>
      <c r="B72" s="120"/>
      <c r="C72" s="120"/>
      <c r="D72" s="120"/>
      <c r="E72" s="120"/>
      <c r="F72" s="120"/>
      <c r="G72" s="120"/>
      <c r="H72" s="120"/>
      <c r="I72" s="125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.5" customHeight="1">
      <c r="A73" s="98" t="s">
        <v>92</v>
      </c>
      <c r="B73" s="8" t="s">
        <v>93</v>
      </c>
      <c r="C73" s="13"/>
      <c r="D73" s="8"/>
      <c r="E73" s="9">
        <v>4</v>
      </c>
      <c r="F73" s="9">
        <v>4</v>
      </c>
      <c r="G73" s="9">
        <v>4</v>
      </c>
      <c r="H73" s="9">
        <f t="shared" ref="H73:H78" si="22">SUM(E73:F73)</f>
        <v>8</v>
      </c>
      <c r="I73" s="99">
        <f t="shared" ref="I73:I78" si="23">E73*15+F73*30</f>
        <v>180</v>
      </c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.5" customHeight="1">
      <c r="A74" s="105" t="s">
        <v>94</v>
      </c>
      <c r="B74" s="13" t="s">
        <v>95</v>
      </c>
      <c r="C74" s="13"/>
      <c r="D74" s="8"/>
      <c r="E74" s="9">
        <v>2</v>
      </c>
      <c r="F74" s="9"/>
      <c r="G74" s="9"/>
      <c r="H74" s="9">
        <f t="shared" si="22"/>
        <v>2</v>
      </c>
      <c r="I74" s="99">
        <f t="shared" si="23"/>
        <v>30</v>
      </c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.5" customHeight="1">
      <c r="A75" s="105" t="s">
        <v>96</v>
      </c>
      <c r="B75" s="13" t="s">
        <v>97</v>
      </c>
      <c r="C75" s="13"/>
      <c r="D75" s="8"/>
      <c r="E75" s="9">
        <v>2</v>
      </c>
      <c r="F75" s="9"/>
      <c r="G75" s="9"/>
      <c r="H75" s="9">
        <f t="shared" si="22"/>
        <v>2</v>
      </c>
      <c r="I75" s="99">
        <f t="shared" si="23"/>
        <v>30</v>
      </c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.5" customHeight="1">
      <c r="A76" s="105" t="s">
        <v>98</v>
      </c>
      <c r="B76" s="13"/>
      <c r="C76" s="13"/>
      <c r="D76" s="8"/>
      <c r="E76" s="9">
        <v>4</v>
      </c>
      <c r="F76" s="9"/>
      <c r="G76" s="9"/>
      <c r="H76" s="9">
        <f t="shared" si="22"/>
        <v>4</v>
      </c>
      <c r="I76" s="99">
        <f t="shared" si="23"/>
        <v>60</v>
      </c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.5" customHeight="1">
      <c r="A77" s="105" t="s">
        <v>98</v>
      </c>
      <c r="B77" s="13"/>
      <c r="C77" s="13"/>
      <c r="D77" s="8"/>
      <c r="E77" s="9">
        <v>4</v>
      </c>
      <c r="F77" s="9"/>
      <c r="G77" s="9"/>
      <c r="H77" s="9">
        <f t="shared" si="22"/>
        <v>4</v>
      </c>
      <c r="I77" s="99">
        <f t="shared" si="23"/>
        <v>60</v>
      </c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.5" customHeight="1">
      <c r="A78" s="105" t="s">
        <v>98</v>
      </c>
      <c r="B78" s="13"/>
      <c r="C78" s="13"/>
      <c r="D78" s="8"/>
      <c r="E78" s="9">
        <v>4</v>
      </c>
      <c r="F78" s="9"/>
      <c r="G78" s="9"/>
      <c r="H78" s="9">
        <f t="shared" si="22"/>
        <v>4</v>
      </c>
      <c r="I78" s="99">
        <f t="shared" si="23"/>
        <v>60</v>
      </c>
      <c r="J78" s="1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.5" customHeight="1">
      <c r="A79" s="95"/>
      <c r="B79" s="119" t="s">
        <v>33</v>
      </c>
      <c r="C79" s="120"/>
      <c r="D79" s="121"/>
      <c r="E79" s="6">
        <f t="shared" ref="E79:I79" si="24">SUM(E73:E78)</f>
        <v>20</v>
      </c>
      <c r="F79" s="6">
        <f t="shared" si="24"/>
        <v>4</v>
      </c>
      <c r="G79" s="6">
        <f t="shared" si="24"/>
        <v>4</v>
      </c>
      <c r="H79" s="6">
        <f t="shared" si="24"/>
        <v>24</v>
      </c>
      <c r="I79" s="101">
        <f t="shared" si="24"/>
        <v>420</v>
      </c>
      <c r="J79" s="1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.5" customHeight="1">
      <c r="A80" s="102"/>
      <c r="B80" s="17"/>
      <c r="C80" s="17"/>
      <c r="D80" s="17"/>
      <c r="E80" s="18"/>
      <c r="F80" s="18"/>
      <c r="G80" s="18"/>
      <c r="H80" s="18"/>
      <c r="I80" s="103"/>
      <c r="J80" s="1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.5" customHeight="1">
      <c r="A81" s="124" t="s">
        <v>99</v>
      </c>
      <c r="B81" s="120"/>
      <c r="C81" s="120"/>
      <c r="D81" s="120"/>
      <c r="E81" s="120"/>
      <c r="F81" s="120"/>
      <c r="G81" s="120"/>
      <c r="H81" s="120"/>
      <c r="I81" s="125"/>
      <c r="J81" s="1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.5" customHeight="1">
      <c r="A82" s="106" t="s">
        <v>188</v>
      </c>
      <c r="B82" s="13" t="s">
        <v>100</v>
      </c>
      <c r="C82" s="7" t="s">
        <v>92</v>
      </c>
      <c r="D82" s="20"/>
      <c r="E82" s="20">
        <v>2</v>
      </c>
      <c r="F82" s="20">
        <v>2</v>
      </c>
      <c r="G82" s="9"/>
      <c r="H82" s="9">
        <f t="shared" ref="H82:H85" si="25">SUM(E82:F82)</f>
        <v>4</v>
      </c>
      <c r="I82" s="99">
        <f t="shared" ref="I82:I85" si="26">E82*15+F82*30</f>
        <v>90</v>
      </c>
      <c r="J82" s="1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95" t="s">
        <v>98</v>
      </c>
      <c r="B83" s="3"/>
      <c r="C83" s="21"/>
      <c r="D83" s="3"/>
      <c r="E83" s="19">
        <v>4</v>
      </c>
      <c r="F83" s="19">
        <v>0</v>
      </c>
      <c r="G83" s="9"/>
      <c r="H83" s="9">
        <f t="shared" si="25"/>
        <v>4</v>
      </c>
      <c r="I83" s="99">
        <f t="shared" si="26"/>
        <v>60</v>
      </c>
      <c r="J83" s="1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.5" customHeight="1">
      <c r="A84" s="95" t="s">
        <v>98</v>
      </c>
      <c r="B84" s="3"/>
      <c r="C84" s="3"/>
      <c r="D84" s="3"/>
      <c r="E84" s="19">
        <v>4</v>
      </c>
      <c r="F84" s="19">
        <v>0</v>
      </c>
      <c r="G84" s="9"/>
      <c r="H84" s="9">
        <f t="shared" si="25"/>
        <v>4</v>
      </c>
      <c r="I84" s="99">
        <f t="shared" si="26"/>
        <v>60</v>
      </c>
      <c r="J84" s="1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.5" customHeight="1">
      <c r="A85" s="95" t="s">
        <v>98</v>
      </c>
      <c r="B85" s="22"/>
      <c r="C85" s="22"/>
      <c r="D85" s="22"/>
      <c r="E85" s="23">
        <v>4</v>
      </c>
      <c r="F85" s="23">
        <v>0</v>
      </c>
      <c r="G85" s="9"/>
      <c r="H85" s="9">
        <f t="shared" si="25"/>
        <v>4</v>
      </c>
      <c r="I85" s="99">
        <f t="shared" si="26"/>
        <v>60</v>
      </c>
      <c r="J85" s="1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.5" customHeight="1">
      <c r="A86" s="95"/>
      <c r="B86" s="119" t="s">
        <v>33</v>
      </c>
      <c r="C86" s="120"/>
      <c r="D86" s="121"/>
      <c r="E86" s="6">
        <f t="shared" ref="E86:I86" si="27">SUM(E82:E85)</f>
        <v>14</v>
      </c>
      <c r="F86" s="6">
        <f t="shared" si="27"/>
        <v>2</v>
      </c>
      <c r="G86" s="6">
        <f t="shared" si="27"/>
        <v>0</v>
      </c>
      <c r="H86" s="6">
        <f t="shared" si="27"/>
        <v>16</v>
      </c>
      <c r="I86" s="101">
        <f t="shared" si="27"/>
        <v>270</v>
      </c>
      <c r="J86" s="1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.5" customHeight="1">
      <c r="A87" s="102"/>
      <c r="B87" s="17"/>
      <c r="C87" s="17"/>
      <c r="D87" s="17"/>
      <c r="E87" s="18"/>
      <c r="F87" s="18"/>
      <c r="G87" s="18"/>
      <c r="H87" s="18"/>
      <c r="I87" s="103"/>
      <c r="J87" s="1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.5" customHeight="1">
      <c r="A88" s="124" t="s">
        <v>101</v>
      </c>
      <c r="B88" s="120"/>
      <c r="C88" s="120"/>
      <c r="D88" s="120"/>
      <c r="E88" s="120"/>
      <c r="F88" s="120"/>
      <c r="G88" s="120"/>
      <c r="H88" s="120"/>
      <c r="I88" s="125"/>
      <c r="J88" s="1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.5" customHeight="1">
      <c r="A89" s="106" t="s">
        <v>189</v>
      </c>
      <c r="B89" s="3" t="s">
        <v>102</v>
      </c>
      <c r="C89" s="19"/>
      <c r="D89" s="19"/>
      <c r="E89" s="19">
        <v>2</v>
      </c>
      <c r="F89" s="20">
        <v>2</v>
      </c>
      <c r="G89" s="9"/>
      <c r="H89" s="9">
        <f t="shared" ref="H89:H93" si="28">SUM(E89:F89)</f>
        <v>4</v>
      </c>
      <c r="I89" s="99">
        <f t="shared" ref="I89:I93" si="29">E89*15+F89*30</f>
        <v>90</v>
      </c>
      <c r="J89" s="1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.5" customHeight="1">
      <c r="A90" s="105" t="s">
        <v>103</v>
      </c>
      <c r="B90" s="13" t="s">
        <v>104</v>
      </c>
      <c r="C90" s="24"/>
      <c r="D90" s="24"/>
      <c r="E90" s="20">
        <v>1</v>
      </c>
      <c r="F90" s="20">
        <v>6</v>
      </c>
      <c r="G90" s="9"/>
      <c r="H90" s="9">
        <f t="shared" si="28"/>
        <v>7</v>
      </c>
      <c r="I90" s="99">
        <f t="shared" si="29"/>
        <v>195</v>
      </c>
      <c r="J90" s="1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.5" customHeight="1">
      <c r="A91" s="95" t="s">
        <v>98</v>
      </c>
      <c r="B91" s="3"/>
      <c r="C91" s="21"/>
      <c r="D91" s="3"/>
      <c r="E91" s="19">
        <v>4</v>
      </c>
      <c r="F91" s="20">
        <v>0</v>
      </c>
      <c r="G91" s="9"/>
      <c r="H91" s="9">
        <f t="shared" si="28"/>
        <v>4</v>
      </c>
      <c r="I91" s="99">
        <f t="shared" si="29"/>
        <v>60</v>
      </c>
      <c r="J91" s="1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95" t="s">
        <v>98</v>
      </c>
      <c r="B92" s="3"/>
      <c r="C92" s="3"/>
      <c r="D92" s="3"/>
      <c r="E92" s="19">
        <v>4</v>
      </c>
      <c r="F92" s="20">
        <v>0</v>
      </c>
      <c r="G92" s="9"/>
      <c r="H92" s="9">
        <f t="shared" si="28"/>
        <v>4</v>
      </c>
      <c r="I92" s="99">
        <f t="shared" si="29"/>
        <v>60</v>
      </c>
      <c r="J92" s="1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95" t="s">
        <v>98</v>
      </c>
      <c r="B93" s="22"/>
      <c r="C93" s="22"/>
      <c r="D93" s="22"/>
      <c r="E93" s="23">
        <v>4</v>
      </c>
      <c r="F93" s="19">
        <v>0</v>
      </c>
      <c r="G93" s="9"/>
      <c r="H93" s="9">
        <f t="shared" si="28"/>
        <v>4</v>
      </c>
      <c r="I93" s="99">
        <f t="shared" si="29"/>
        <v>60</v>
      </c>
      <c r="J93" s="1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.5" customHeight="1">
      <c r="A94" s="95"/>
      <c r="B94" s="119" t="s">
        <v>33</v>
      </c>
      <c r="C94" s="120"/>
      <c r="D94" s="121"/>
      <c r="E94" s="6">
        <f t="shared" ref="E94:I94" si="30">SUM(E89:E93)</f>
        <v>15</v>
      </c>
      <c r="F94" s="6">
        <f t="shared" si="30"/>
        <v>8</v>
      </c>
      <c r="G94" s="6">
        <f t="shared" si="30"/>
        <v>0</v>
      </c>
      <c r="H94" s="6">
        <f t="shared" si="30"/>
        <v>23</v>
      </c>
      <c r="I94" s="101">
        <f t="shared" si="30"/>
        <v>465</v>
      </c>
      <c r="J94" s="1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5" customHeight="1">
      <c r="A95" s="129"/>
      <c r="B95" s="120"/>
      <c r="C95" s="120"/>
      <c r="D95" s="120"/>
      <c r="E95" s="120"/>
      <c r="F95" s="120"/>
      <c r="G95" s="120"/>
      <c r="H95" s="120"/>
      <c r="I95" s="125"/>
      <c r="J95" s="1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5" customHeight="1">
      <c r="A96" s="129"/>
      <c r="B96" s="120"/>
      <c r="C96" s="120"/>
      <c r="D96" s="120"/>
      <c r="E96" s="120"/>
      <c r="F96" s="120"/>
      <c r="G96" s="120"/>
      <c r="H96" s="120"/>
      <c r="I96" s="125"/>
      <c r="J96" s="1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.5" customHeight="1">
      <c r="A97" s="130" t="s">
        <v>105</v>
      </c>
      <c r="B97" s="120"/>
      <c r="C97" s="120"/>
      <c r="D97" s="120"/>
      <c r="E97" s="120"/>
      <c r="F97" s="120"/>
      <c r="G97" s="120"/>
      <c r="H97" s="120"/>
      <c r="I97" s="125"/>
      <c r="J97" s="1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.5" customHeight="1">
      <c r="A98" s="130" t="s">
        <v>106</v>
      </c>
      <c r="B98" s="120"/>
      <c r="C98" s="120"/>
      <c r="D98" s="120"/>
      <c r="E98" s="120"/>
      <c r="F98" s="120"/>
      <c r="G98" s="120"/>
      <c r="H98" s="120"/>
      <c r="I98" s="125"/>
      <c r="J98" s="1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.5" customHeight="1">
      <c r="A99" s="129"/>
      <c r="B99" s="120"/>
      <c r="C99" s="120"/>
      <c r="D99" s="120"/>
      <c r="E99" s="120"/>
      <c r="F99" s="118"/>
      <c r="G99" s="118"/>
      <c r="H99" s="118"/>
      <c r="I99" s="125"/>
      <c r="J99" s="1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.5" customHeight="1">
      <c r="A100" s="92"/>
      <c r="B100" s="25" t="s">
        <v>107</v>
      </c>
      <c r="C100" s="117" t="s">
        <v>108</v>
      </c>
      <c r="D100" s="118"/>
      <c r="E100" s="26">
        <f>SUM(E18+E26+E36+E44+E54+E62+E70+E79+E86+E94)</f>
        <v>211</v>
      </c>
      <c r="F100" s="140" t="str">
        <f>E100*15&amp;" horas"</f>
        <v>3165 horas</v>
      </c>
      <c r="G100" s="142"/>
      <c r="H100" s="142"/>
      <c r="I100" s="107"/>
      <c r="J100" s="1"/>
      <c r="K100" s="117" t="s">
        <v>108</v>
      </c>
      <c r="L100" s="118"/>
      <c r="M100" s="2" t="s">
        <v>190</v>
      </c>
      <c r="N100" s="2">
        <f>E83+E84+E85+E91+E93+E92+E76+E77+E78</f>
        <v>36</v>
      </c>
      <c r="O100" s="2">
        <f>N100*15</f>
        <v>540</v>
      </c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.5" customHeight="1">
      <c r="A101" s="92"/>
      <c r="B101" s="27"/>
      <c r="C101" s="138" t="s">
        <v>109</v>
      </c>
      <c r="D101" s="139"/>
      <c r="E101" s="28">
        <f>SUM(F18+F26+F36+F44+F54+F62+F70+F79+F86+F94)</f>
        <v>42</v>
      </c>
      <c r="F101" s="140" t="str">
        <f t="shared" ref="F101:F102" si="31">E101*30&amp;" horas"</f>
        <v>1260 horas</v>
      </c>
      <c r="G101" s="141"/>
      <c r="H101" s="142"/>
      <c r="I101" s="107"/>
      <c r="J101" s="1"/>
      <c r="K101" s="117" t="s">
        <v>108</v>
      </c>
      <c r="L101" s="118"/>
      <c r="M101" s="2" t="s">
        <v>191</v>
      </c>
      <c r="N101" s="2">
        <f>E100-N100</f>
        <v>175</v>
      </c>
      <c r="O101" s="2">
        <f>N101*15</f>
        <v>2625</v>
      </c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.5" customHeight="1">
      <c r="A102" s="92"/>
      <c r="B102" s="25"/>
      <c r="C102" s="143" t="s">
        <v>110</v>
      </c>
      <c r="D102" s="144"/>
      <c r="E102" s="108">
        <f>SUM(G94+G86+G79+G70+G62+G54+G44+G26+G36+G18)</f>
        <v>16</v>
      </c>
      <c r="F102" s="140" t="str">
        <f t="shared" si="31"/>
        <v>480 horas</v>
      </c>
      <c r="G102" s="142"/>
      <c r="H102" s="142"/>
      <c r="I102" s="107"/>
      <c r="J102" s="1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.5" customHeight="1">
      <c r="A103" s="109"/>
      <c r="B103" s="145" t="s">
        <v>111</v>
      </c>
      <c r="C103" s="146"/>
      <c r="D103" s="146"/>
      <c r="E103" s="110">
        <f>SUM(E100:E101)</f>
        <v>253</v>
      </c>
      <c r="F103" s="147">
        <f>SUM(E100)*15+SUM(E101)*"30"</f>
        <v>4425</v>
      </c>
      <c r="G103" s="148"/>
      <c r="H103" s="149"/>
      <c r="I103" s="111"/>
      <c r="J103" s="1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.5" customHeight="1">
      <c r="A105" s="150" t="s">
        <v>112</v>
      </c>
      <c r="B105" s="151"/>
      <c r="C105" s="151"/>
      <c r="D105" s="151"/>
      <c r="E105" s="151"/>
      <c r="F105" s="151"/>
      <c r="G105" s="151"/>
      <c r="H105" s="152"/>
      <c r="I105" s="1"/>
      <c r="J105" s="1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.5" customHeight="1">
      <c r="A106" s="131" t="s">
        <v>91</v>
      </c>
      <c r="B106" s="132"/>
      <c r="C106" s="132"/>
      <c r="D106" s="132"/>
      <c r="E106" s="132"/>
      <c r="F106" s="132"/>
      <c r="G106" s="132"/>
      <c r="H106" s="133"/>
      <c r="I106" s="1"/>
      <c r="J106" s="1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.5" customHeight="1">
      <c r="A107" s="29"/>
      <c r="B107" s="30"/>
      <c r="C107" s="31"/>
      <c r="D107" s="31"/>
      <c r="E107" s="31"/>
      <c r="F107" s="31"/>
      <c r="G107" s="32"/>
      <c r="H107" s="33"/>
      <c r="I107" s="1"/>
      <c r="J107" s="1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.5" customHeight="1">
      <c r="A108" s="34" t="s">
        <v>136</v>
      </c>
      <c r="B108" s="35" t="s">
        <v>182</v>
      </c>
      <c r="C108" s="20"/>
      <c r="D108" s="20"/>
      <c r="E108" s="20">
        <v>4</v>
      </c>
      <c r="F108" s="20">
        <v>0</v>
      </c>
      <c r="G108" s="36">
        <f>SUM(E108:F108)</f>
        <v>4</v>
      </c>
      <c r="H108" s="37">
        <f>E108*15+F108*30</f>
        <v>60</v>
      </c>
      <c r="I108" s="1"/>
      <c r="J108" s="1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.5" customHeight="1">
      <c r="A109" s="38" t="s">
        <v>113</v>
      </c>
      <c r="B109" s="13" t="s">
        <v>114</v>
      </c>
      <c r="C109" s="20"/>
      <c r="D109" s="20"/>
      <c r="E109" s="20">
        <v>4</v>
      </c>
      <c r="F109" s="20">
        <v>0</v>
      </c>
      <c r="G109" s="36">
        <v>4</v>
      </c>
      <c r="H109" s="37">
        <v>60</v>
      </c>
      <c r="I109" s="1"/>
      <c r="J109" s="1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.5" customHeight="1">
      <c r="A110" s="38" t="s">
        <v>181</v>
      </c>
      <c r="B110" s="13" t="s">
        <v>183</v>
      </c>
      <c r="C110" s="20"/>
      <c r="D110" s="20"/>
      <c r="E110" s="20">
        <v>4</v>
      </c>
      <c r="F110" s="20">
        <v>0</v>
      </c>
      <c r="G110" s="36">
        <f t="shared" ref="G110:G112" si="32">SUM(E110:F110)</f>
        <v>4</v>
      </c>
      <c r="H110" s="37">
        <f t="shared" ref="H110:H112" si="33">E110*15+F110*30</f>
        <v>60</v>
      </c>
      <c r="I110" s="1"/>
      <c r="J110" s="1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.5" customHeight="1">
      <c r="A111" s="38" t="s">
        <v>180</v>
      </c>
      <c r="B111" s="13" t="s">
        <v>184</v>
      </c>
      <c r="C111" s="20"/>
      <c r="D111" s="20"/>
      <c r="E111" s="20">
        <v>4</v>
      </c>
      <c r="F111" s="20">
        <v>0</v>
      </c>
      <c r="G111" s="36">
        <f t="shared" si="32"/>
        <v>4</v>
      </c>
      <c r="H111" s="37">
        <f t="shared" si="33"/>
        <v>60</v>
      </c>
      <c r="I111" s="1"/>
      <c r="J111" s="1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.5" customHeight="1">
      <c r="A112" s="38" t="s">
        <v>115</v>
      </c>
      <c r="B112" s="13" t="s">
        <v>116</v>
      </c>
      <c r="C112" s="20"/>
      <c r="D112" s="20"/>
      <c r="E112" s="20">
        <v>4</v>
      </c>
      <c r="F112" s="20">
        <v>0</v>
      </c>
      <c r="G112" s="36">
        <f t="shared" si="32"/>
        <v>4</v>
      </c>
      <c r="H112" s="37">
        <f t="shared" si="33"/>
        <v>60</v>
      </c>
      <c r="I112" s="1"/>
      <c r="J112" s="1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.5" customHeight="1">
      <c r="A113" s="153"/>
      <c r="B113" s="118"/>
      <c r="C113" s="118"/>
      <c r="D113" s="118"/>
      <c r="E113" s="118"/>
      <c r="F113" s="118"/>
      <c r="G113" s="118"/>
      <c r="H113" s="154"/>
      <c r="I113" s="1"/>
      <c r="J113" s="1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.5" customHeight="1">
      <c r="A114" s="155" t="s">
        <v>99</v>
      </c>
      <c r="B114" s="120"/>
      <c r="C114" s="120"/>
      <c r="D114" s="120"/>
      <c r="E114" s="120"/>
      <c r="F114" s="120"/>
      <c r="G114" s="120"/>
      <c r="H114" s="135"/>
      <c r="I114" s="1"/>
      <c r="J114" s="1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.5" customHeight="1">
      <c r="A115" s="67" t="s">
        <v>127</v>
      </c>
      <c r="B115" s="68" t="s">
        <v>128</v>
      </c>
      <c r="C115" s="13"/>
      <c r="D115" s="13"/>
      <c r="E115" s="20">
        <v>4</v>
      </c>
      <c r="F115" s="20">
        <v>0</v>
      </c>
      <c r="G115" s="36">
        <v>4</v>
      </c>
      <c r="H115" s="37">
        <f t="shared" ref="H115:H129" si="34">E115*15+F115*30</f>
        <v>60</v>
      </c>
      <c r="I115" s="1"/>
      <c r="J115" s="1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.5" customHeight="1">
      <c r="A116" s="72" t="s">
        <v>161</v>
      </c>
      <c r="B116" s="71" t="s">
        <v>130</v>
      </c>
      <c r="C116" s="20"/>
      <c r="D116" s="20"/>
      <c r="E116" s="20">
        <v>4</v>
      </c>
      <c r="F116" s="20">
        <v>0</v>
      </c>
      <c r="G116" s="36">
        <v>4</v>
      </c>
      <c r="H116" s="37">
        <f t="shared" si="34"/>
        <v>60</v>
      </c>
      <c r="I116" s="1"/>
      <c r="J116" s="1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.5" customHeight="1">
      <c r="A117" s="67" t="s">
        <v>162</v>
      </c>
      <c r="B117" s="68" t="s">
        <v>129</v>
      </c>
      <c r="C117" s="39"/>
      <c r="D117" s="40"/>
      <c r="E117" s="41">
        <v>4</v>
      </c>
      <c r="F117" s="41">
        <v>0</v>
      </c>
      <c r="G117" s="36">
        <f t="shared" ref="G117:G129" si="35">SUM(E117:F117)</f>
        <v>4</v>
      </c>
      <c r="H117" s="37">
        <f t="shared" si="34"/>
        <v>60</v>
      </c>
      <c r="I117" s="1"/>
      <c r="J117" s="1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.5" customHeight="1">
      <c r="A118" s="80" t="s">
        <v>119</v>
      </c>
      <c r="B118" s="73" t="s">
        <v>120</v>
      </c>
      <c r="C118" s="39"/>
      <c r="D118" s="40"/>
      <c r="E118" s="41">
        <v>4</v>
      </c>
      <c r="F118" s="41">
        <v>0</v>
      </c>
      <c r="G118" s="36">
        <f t="shared" si="35"/>
        <v>4</v>
      </c>
      <c r="H118" s="37">
        <f t="shared" si="34"/>
        <v>60</v>
      </c>
      <c r="I118" s="1"/>
      <c r="J118" s="1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.5" customHeight="1">
      <c r="A119" s="81" t="s">
        <v>121</v>
      </c>
      <c r="B119" s="68" t="s">
        <v>122</v>
      </c>
      <c r="C119" s="39"/>
      <c r="D119" s="40"/>
      <c r="E119" s="41">
        <v>4</v>
      </c>
      <c r="F119" s="41">
        <v>0</v>
      </c>
      <c r="G119" s="36">
        <f t="shared" si="35"/>
        <v>4</v>
      </c>
      <c r="H119" s="37">
        <f t="shared" si="34"/>
        <v>60</v>
      </c>
      <c r="I119" s="1"/>
      <c r="J119" s="1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4">
      <c r="A120" s="67" t="s">
        <v>167</v>
      </c>
      <c r="B120" s="68" t="s">
        <v>76</v>
      </c>
      <c r="C120" s="39"/>
      <c r="D120" s="40"/>
      <c r="E120" s="41">
        <v>4</v>
      </c>
      <c r="F120" s="41">
        <v>0</v>
      </c>
      <c r="G120" s="9">
        <f t="shared" si="35"/>
        <v>4</v>
      </c>
      <c r="H120" s="62">
        <f t="shared" si="34"/>
        <v>60</v>
      </c>
      <c r="I120" s="1"/>
      <c r="J120" s="1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.5" customHeight="1">
      <c r="A121" s="67" t="s">
        <v>136</v>
      </c>
      <c r="B121" s="68" t="s">
        <v>168</v>
      </c>
      <c r="C121" s="42"/>
      <c r="D121" s="40"/>
      <c r="E121" s="41">
        <v>4</v>
      </c>
      <c r="F121" s="41">
        <v>0</v>
      </c>
      <c r="G121" s="9">
        <f t="shared" si="35"/>
        <v>4</v>
      </c>
      <c r="H121" s="10">
        <f t="shared" si="34"/>
        <v>60</v>
      </c>
      <c r="I121" s="1"/>
      <c r="J121" s="1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.5" customHeight="1">
      <c r="A122" s="67" t="s">
        <v>137</v>
      </c>
      <c r="B122" s="68" t="s">
        <v>138</v>
      </c>
      <c r="C122" s="43"/>
      <c r="D122" s="44"/>
      <c r="E122" s="45">
        <v>4</v>
      </c>
      <c r="F122" s="45">
        <v>0</v>
      </c>
      <c r="G122" s="9">
        <f t="shared" si="35"/>
        <v>4</v>
      </c>
      <c r="H122" s="10">
        <f t="shared" si="34"/>
        <v>60</v>
      </c>
      <c r="I122" s="1"/>
      <c r="J122" s="1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20.399999999999999">
      <c r="A123" s="67" t="s">
        <v>124</v>
      </c>
      <c r="B123" s="68" t="s">
        <v>125</v>
      </c>
      <c r="C123" s="43"/>
      <c r="D123" s="44"/>
      <c r="E123" s="45">
        <v>4</v>
      </c>
      <c r="F123" s="45">
        <v>0</v>
      </c>
      <c r="G123" s="9">
        <f t="shared" si="35"/>
        <v>4</v>
      </c>
      <c r="H123" s="10">
        <f t="shared" si="34"/>
        <v>60</v>
      </c>
      <c r="I123" s="1"/>
      <c r="J123" s="1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.5" customHeight="1">
      <c r="A124" s="80" t="s">
        <v>117</v>
      </c>
      <c r="B124" s="74" t="s">
        <v>118</v>
      </c>
      <c r="C124" s="43"/>
      <c r="D124" s="44"/>
      <c r="E124" s="45">
        <v>4</v>
      </c>
      <c r="F124" s="45">
        <v>0</v>
      </c>
      <c r="G124" s="9">
        <f t="shared" si="35"/>
        <v>4</v>
      </c>
      <c r="H124" s="10">
        <f t="shared" si="34"/>
        <v>60</v>
      </c>
      <c r="I124" s="1"/>
      <c r="J124" s="1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.5" customHeight="1">
      <c r="A125" s="67" t="s">
        <v>123</v>
      </c>
      <c r="B125" s="68" t="s">
        <v>173</v>
      </c>
      <c r="C125" s="43"/>
      <c r="D125" s="44"/>
      <c r="E125" s="45">
        <v>4</v>
      </c>
      <c r="F125" s="45">
        <v>0</v>
      </c>
      <c r="G125" s="9">
        <f t="shared" si="35"/>
        <v>4</v>
      </c>
      <c r="H125" s="10">
        <f t="shared" si="34"/>
        <v>60</v>
      </c>
      <c r="I125" s="1"/>
      <c r="J125" s="1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.5" customHeight="1">
      <c r="A126" s="67" t="s">
        <v>133</v>
      </c>
      <c r="B126" s="68" t="s">
        <v>176</v>
      </c>
      <c r="C126" s="43"/>
      <c r="D126" s="44"/>
      <c r="E126" s="45">
        <v>4</v>
      </c>
      <c r="F126" s="45">
        <v>0</v>
      </c>
      <c r="G126" s="9">
        <f t="shared" si="35"/>
        <v>4</v>
      </c>
      <c r="H126" s="10">
        <f t="shared" si="34"/>
        <v>60</v>
      </c>
      <c r="I126" s="1"/>
      <c r="J126" s="1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.5" customHeight="1">
      <c r="A127" s="67" t="s">
        <v>126</v>
      </c>
      <c r="B127" s="68" t="s">
        <v>177</v>
      </c>
      <c r="C127" s="46"/>
      <c r="D127" s="47"/>
      <c r="E127" s="45">
        <v>4</v>
      </c>
      <c r="F127" s="45">
        <v>0</v>
      </c>
      <c r="G127" s="9">
        <f t="shared" si="35"/>
        <v>4</v>
      </c>
      <c r="H127" s="10">
        <f t="shared" si="34"/>
        <v>60</v>
      </c>
      <c r="I127" s="1"/>
      <c r="J127" s="1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.5" customHeight="1">
      <c r="A128" s="67" t="s">
        <v>145</v>
      </c>
      <c r="B128" s="68" t="s">
        <v>146</v>
      </c>
      <c r="C128" s="48"/>
      <c r="D128" s="49"/>
      <c r="E128" s="50">
        <v>4</v>
      </c>
      <c r="F128" s="50">
        <v>0</v>
      </c>
      <c r="G128" s="51">
        <f t="shared" si="35"/>
        <v>4</v>
      </c>
      <c r="H128" s="52">
        <f t="shared" si="34"/>
        <v>60</v>
      </c>
      <c r="I128" s="1"/>
      <c r="J128" s="1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.5" customHeight="1">
      <c r="A129" s="67" t="s">
        <v>147</v>
      </c>
      <c r="B129" s="68" t="s">
        <v>148</v>
      </c>
      <c r="C129" s="53"/>
      <c r="D129" s="54"/>
      <c r="E129" s="9">
        <v>4</v>
      </c>
      <c r="F129" s="9">
        <v>2</v>
      </c>
      <c r="G129" s="9">
        <f t="shared" si="35"/>
        <v>6</v>
      </c>
      <c r="H129" s="52">
        <f t="shared" si="34"/>
        <v>120</v>
      </c>
      <c r="I129" s="1"/>
      <c r="J129" s="1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.5" customHeight="1">
      <c r="A130" s="55"/>
      <c r="B130" s="2"/>
      <c r="C130" s="2"/>
      <c r="D130" s="2"/>
      <c r="E130" s="2"/>
      <c r="F130" s="2"/>
      <c r="G130" s="2"/>
      <c r="H130" s="56"/>
      <c r="I130" s="1"/>
      <c r="J130" s="1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.5" customHeight="1">
      <c r="A131" s="131" t="s">
        <v>101</v>
      </c>
      <c r="B131" s="132"/>
      <c r="C131" s="132"/>
      <c r="D131" s="132"/>
      <c r="E131" s="132"/>
      <c r="F131" s="132"/>
      <c r="G131" s="132"/>
      <c r="H131" s="133"/>
      <c r="I131" s="1"/>
      <c r="J131" s="1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.5" customHeight="1">
      <c r="A132" s="70" t="s">
        <v>159</v>
      </c>
      <c r="B132" s="71" t="s">
        <v>160</v>
      </c>
      <c r="C132" s="20"/>
      <c r="D132" s="13"/>
      <c r="E132" s="20">
        <v>4</v>
      </c>
      <c r="F132" s="20">
        <v>0</v>
      </c>
      <c r="G132" s="20">
        <f t="shared" ref="G132:G147" si="36">SUM(E132:F132)</f>
        <v>4</v>
      </c>
      <c r="H132" s="37">
        <f t="shared" ref="H132:H147" si="37">E132*15+F132*30</f>
        <v>60</v>
      </c>
      <c r="I132" s="1"/>
      <c r="J132" s="1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.5" customHeight="1">
      <c r="A133" s="67" t="s">
        <v>85</v>
      </c>
      <c r="B133" s="68" t="s">
        <v>86</v>
      </c>
      <c r="C133" s="20"/>
      <c r="D133" s="57"/>
      <c r="E133" s="20">
        <v>4</v>
      </c>
      <c r="F133" s="20">
        <v>0</v>
      </c>
      <c r="G133" s="20">
        <f t="shared" si="36"/>
        <v>4</v>
      </c>
      <c r="H133" s="37">
        <f t="shared" si="37"/>
        <v>60</v>
      </c>
      <c r="I133" s="1"/>
      <c r="J133" s="1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.5" customHeight="1">
      <c r="A134" s="67" t="s">
        <v>143</v>
      </c>
      <c r="B134" s="68" t="s">
        <v>144</v>
      </c>
      <c r="C134" s="39"/>
      <c r="D134" s="40"/>
      <c r="E134" s="41">
        <v>4</v>
      </c>
      <c r="F134" s="41">
        <v>0</v>
      </c>
      <c r="G134" s="36">
        <f t="shared" si="36"/>
        <v>4</v>
      </c>
      <c r="H134" s="37">
        <f t="shared" si="37"/>
        <v>60</v>
      </c>
      <c r="I134" s="1"/>
      <c r="J134" s="1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.5" customHeight="1">
      <c r="A135" s="67" t="s">
        <v>113</v>
      </c>
      <c r="B135" s="68" t="s">
        <v>163</v>
      </c>
      <c r="C135" s="39"/>
      <c r="D135" s="40"/>
      <c r="E135" s="41">
        <v>4</v>
      </c>
      <c r="F135" s="41">
        <v>0</v>
      </c>
      <c r="G135" s="36">
        <f t="shared" si="36"/>
        <v>4</v>
      </c>
      <c r="H135" s="37">
        <f t="shared" si="37"/>
        <v>60</v>
      </c>
      <c r="I135" s="1"/>
      <c r="J135" s="1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.5" customHeight="1">
      <c r="A136" s="67" t="s">
        <v>141</v>
      </c>
      <c r="B136" s="68" t="s">
        <v>164</v>
      </c>
      <c r="C136" s="39"/>
      <c r="D136" s="40"/>
      <c r="E136" s="41">
        <v>4</v>
      </c>
      <c r="F136" s="41">
        <v>0</v>
      </c>
      <c r="G136" s="36">
        <f t="shared" si="36"/>
        <v>4</v>
      </c>
      <c r="H136" s="37">
        <f t="shared" si="37"/>
        <v>60</v>
      </c>
      <c r="I136" s="1"/>
      <c r="J136" s="1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.5" customHeight="1">
      <c r="A137" s="67" t="s">
        <v>134</v>
      </c>
      <c r="B137" s="68" t="s">
        <v>135</v>
      </c>
      <c r="C137" s="39"/>
      <c r="D137" s="40"/>
      <c r="E137" s="41">
        <v>4</v>
      </c>
      <c r="F137" s="41">
        <v>0</v>
      </c>
      <c r="G137" s="36">
        <f t="shared" si="36"/>
        <v>4</v>
      </c>
      <c r="H137" s="37">
        <f t="shared" si="37"/>
        <v>60</v>
      </c>
      <c r="I137" s="1"/>
      <c r="J137" s="1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.5" customHeight="1">
      <c r="A138" s="67">
        <v>323150</v>
      </c>
      <c r="B138" s="68" t="s">
        <v>166</v>
      </c>
      <c r="C138" s="39"/>
      <c r="D138" s="40"/>
      <c r="E138" s="41">
        <v>4</v>
      </c>
      <c r="F138" s="41">
        <v>0</v>
      </c>
      <c r="G138" s="36">
        <f t="shared" si="36"/>
        <v>4</v>
      </c>
      <c r="H138" s="37">
        <f t="shared" si="37"/>
        <v>60</v>
      </c>
      <c r="I138" s="1"/>
      <c r="J138" s="1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.5" customHeight="1">
      <c r="A139" s="67" t="s">
        <v>142</v>
      </c>
      <c r="B139" s="68" t="s">
        <v>169</v>
      </c>
      <c r="C139" s="39"/>
      <c r="D139" s="40"/>
      <c r="E139" s="41">
        <v>4</v>
      </c>
      <c r="F139" s="41">
        <v>0</v>
      </c>
      <c r="G139" s="36">
        <f t="shared" si="36"/>
        <v>4</v>
      </c>
      <c r="H139" s="37">
        <f t="shared" si="37"/>
        <v>60</v>
      </c>
      <c r="I139" s="1"/>
      <c r="J139" s="1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.5" customHeight="1">
      <c r="A140" s="81" t="s">
        <v>170</v>
      </c>
      <c r="B140" s="68" t="s">
        <v>149</v>
      </c>
      <c r="C140" s="39"/>
      <c r="D140" s="40"/>
      <c r="E140" s="41">
        <v>4</v>
      </c>
      <c r="F140" s="41">
        <v>0</v>
      </c>
      <c r="G140" s="36">
        <f t="shared" si="36"/>
        <v>4</v>
      </c>
      <c r="H140" s="37">
        <f t="shared" si="37"/>
        <v>60</v>
      </c>
      <c r="I140" s="1"/>
      <c r="J140" s="1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.5" customHeight="1">
      <c r="A141" s="67" t="s">
        <v>139</v>
      </c>
      <c r="B141" s="68" t="s">
        <v>140</v>
      </c>
      <c r="C141" s="89"/>
      <c r="D141" s="59"/>
      <c r="E141" s="41">
        <v>4</v>
      </c>
      <c r="F141" s="41">
        <v>0</v>
      </c>
      <c r="G141" s="36">
        <f t="shared" si="36"/>
        <v>4</v>
      </c>
      <c r="H141" s="37">
        <f t="shared" si="37"/>
        <v>60</v>
      </c>
      <c r="I141" s="1"/>
      <c r="J141" s="1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.5" customHeight="1">
      <c r="A142" s="67" t="s">
        <v>171</v>
      </c>
      <c r="B142" s="82" t="s">
        <v>172</v>
      </c>
      <c r="C142" s="91"/>
      <c r="D142" s="91"/>
      <c r="E142" s="88">
        <v>4</v>
      </c>
      <c r="F142" s="41">
        <v>0</v>
      </c>
      <c r="G142" s="36">
        <f t="shared" si="36"/>
        <v>4</v>
      </c>
      <c r="H142" s="37">
        <f t="shared" si="37"/>
        <v>60</v>
      </c>
      <c r="I142" s="1"/>
      <c r="J142" s="1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.5" customHeight="1">
      <c r="A143" s="67" t="s">
        <v>83</v>
      </c>
      <c r="B143" s="68" t="s">
        <v>175</v>
      </c>
      <c r="C143" s="50"/>
      <c r="D143" s="90"/>
      <c r="E143" s="58">
        <v>4</v>
      </c>
      <c r="F143" s="58">
        <v>0</v>
      </c>
      <c r="G143" s="36">
        <f t="shared" si="36"/>
        <v>4</v>
      </c>
      <c r="H143" s="37">
        <f t="shared" si="37"/>
        <v>60</v>
      </c>
      <c r="I143" s="1"/>
      <c r="J143" s="1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.5" customHeight="1">
      <c r="A144" s="75" t="s">
        <v>150</v>
      </c>
      <c r="B144" s="68" t="s">
        <v>151</v>
      </c>
      <c r="C144" s="9"/>
      <c r="D144" s="8"/>
      <c r="E144" s="9">
        <v>4</v>
      </c>
      <c r="F144" s="9">
        <v>0</v>
      </c>
      <c r="G144" s="36">
        <f t="shared" si="36"/>
        <v>4</v>
      </c>
      <c r="H144" s="37">
        <f t="shared" si="37"/>
        <v>60</v>
      </c>
      <c r="I144" s="1"/>
      <c r="J144" s="1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.5" customHeight="1">
      <c r="A145" s="67" t="s">
        <v>131</v>
      </c>
      <c r="B145" s="68" t="s">
        <v>132</v>
      </c>
      <c r="C145" s="43"/>
      <c r="D145" s="44"/>
      <c r="E145" s="45">
        <v>4</v>
      </c>
      <c r="F145" s="45">
        <v>0</v>
      </c>
      <c r="G145" s="9">
        <f t="shared" si="36"/>
        <v>4</v>
      </c>
      <c r="H145" s="10">
        <f t="shared" si="37"/>
        <v>60</v>
      </c>
      <c r="I145" s="1"/>
      <c r="J145" s="1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.5" customHeight="1">
      <c r="A146" s="67" t="s">
        <v>115</v>
      </c>
      <c r="B146" s="68" t="s">
        <v>179</v>
      </c>
      <c r="C146" s="43"/>
      <c r="D146" s="44"/>
      <c r="E146" s="45">
        <v>4</v>
      </c>
      <c r="F146" s="45">
        <v>0</v>
      </c>
      <c r="G146" s="9">
        <f t="shared" si="36"/>
        <v>4</v>
      </c>
      <c r="H146" s="10">
        <f t="shared" si="37"/>
        <v>60</v>
      </c>
      <c r="I146" s="1"/>
      <c r="J146" s="1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.5" customHeight="1">
      <c r="A147" s="67" t="s">
        <v>152</v>
      </c>
      <c r="B147" s="68" t="s">
        <v>153</v>
      </c>
      <c r="C147" s="43"/>
      <c r="D147" s="44"/>
      <c r="E147" s="45">
        <v>4</v>
      </c>
      <c r="F147" s="45">
        <v>0</v>
      </c>
      <c r="G147" s="9">
        <f t="shared" si="36"/>
        <v>4</v>
      </c>
      <c r="H147" s="10">
        <f t="shared" si="37"/>
        <v>60</v>
      </c>
      <c r="I147" s="1"/>
      <c r="J147" s="1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.5" customHeight="1">
      <c r="A148" s="134"/>
      <c r="B148" s="120"/>
      <c r="C148" s="120"/>
      <c r="D148" s="120"/>
      <c r="E148" s="120"/>
      <c r="F148" s="120"/>
      <c r="G148" s="120"/>
      <c r="H148" s="135"/>
      <c r="I148" s="1"/>
      <c r="J148" s="1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7.5" customHeight="1">
      <c r="A149" s="136" t="s">
        <v>154</v>
      </c>
      <c r="B149" s="120"/>
      <c r="C149" s="120"/>
      <c r="D149" s="120"/>
      <c r="E149" s="120"/>
      <c r="F149" s="120"/>
      <c r="G149" s="120"/>
      <c r="H149" s="135"/>
      <c r="I149" s="1"/>
      <c r="J149" s="1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.5" customHeight="1">
      <c r="A150" s="137"/>
      <c r="B150" s="120"/>
      <c r="C150" s="120"/>
      <c r="D150" s="120"/>
      <c r="E150" s="120"/>
      <c r="F150" s="120"/>
      <c r="G150" s="120"/>
      <c r="H150" s="135"/>
      <c r="I150" s="1"/>
      <c r="J150" s="1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6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6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6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6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6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6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6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6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6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6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6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6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6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6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6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6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6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6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6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6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6.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6.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6.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6.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6.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6.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6.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6.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6.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6.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6.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6.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6.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6.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6.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6.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6.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6.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6.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6.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6.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6.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6.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6.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6.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6.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6.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6.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6.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6.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6.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6.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6.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6.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6.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6.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6.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6.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6.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6.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6.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6.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6.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6.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6.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6.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6.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6.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6.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6.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6.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6.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6.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6.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6.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6.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6.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6.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6.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6.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6.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6.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6.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6.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6.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6.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6.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6.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6.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6.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6.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6.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6.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6.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6.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6.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6.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6.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6.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6.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6.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6.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6.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6.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6.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6.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6.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6.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6.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6.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6.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6.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6.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6.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6.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6.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6.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6.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6.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6.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6.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6.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6.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6.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6.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6.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6.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6.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6.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6.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6.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6.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6.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6.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6.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6.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6.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6.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6.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6.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6.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6.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6.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6.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6.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6.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6.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6.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6.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</sheetData>
  <mergeCells count="74">
    <mergeCell ref="A81:I81"/>
    <mergeCell ref="A48:I48"/>
    <mergeCell ref="A55:I55"/>
    <mergeCell ref="A56:I56"/>
    <mergeCell ref="A64:I64"/>
    <mergeCell ref="A72:I72"/>
    <mergeCell ref="B70:D70"/>
    <mergeCell ref="B79:D79"/>
    <mergeCell ref="E46:H46"/>
    <mergeCell ref="I46:I47"/>
    <mergeCell ref="A30:I30"/>
    <mergeCell ref="A37:I37"/>
    <mergeCell ref="A38:I38"/>
    <mergeCell ref="A45:I45"/>
    <mergeCell ref="A46:B46"/>
    <mergeCell ref="C46:C47"/>
    <mergeCell ref="D46:D47"/>
    <mergeCell ref="A47:B47"/>
    <mergeCell ref="A20:I20"/>
    <mergeCell ref="A27:I27"/>
    <mergeCell ref="C28:C29"/>
    <mergeCell ref="D28:D29"/>
    <mergeCell ref="E28:H28"/>
    <mergeCell ref="I28:I29"/>
    <mergeCell ref="F6:H6"/>
    <mergeCell ref="F7:H7"/>
    <mergeCell ref="A9:I9"/>
    <mergeCell ref="A10:B10"/>
    <mergeCell ref="C10:C11"/>
    <mergeCell ref="E10:H10"/>
    <mergeCell ref="I10:I11"/>
    <mergeCell ref="A11:B11"/>
    <mergeCell ref="A1:I1"/>
    <mergeCell ref="H2:I2"/>
    <mergeCell ref="A3:I3"/>
    <mergeCell ref="A4:I4"/>
    <mergeCell ref="F5:H5"/>
    <mergeCell ref="A131:H131"/>
    <mergeCell ref="A148:H148"/>
    <mergeCell ref="A149:H149"/>
    <mergeCell ref="A150:H150"/>
    <mergeCell ref="C100:D100"/>
    <mergeCell ref="C101:D101"/>
    <mergeCell ref="F101:H101"/>
    <mergeCell ref="C102:D102"/>
    <mergeCell ref="F102:H102"/>
    <mergeCell ref="B103:D103"/>
    <mergeCell ref="F103:H103"/>
    <mergeCell ref="F100:H100"/>
    <mergeCell ref="A105:H105"/>
    <mergeCell ref="A106:H106"/>
    <mergeCell ref="A113:H113"/>
    <mergeCell ref="A114:H114"/>
    <mergeCell ref="A95:I95"/>
    <mergeCell ref="A96:I96"/>
    <mergeCell ref="A97:I97"/>
    <mergeCell ref="A98:I98"/>
    <mergeCell ref="A99:I99"/>
    <mergeCell ref="K100:L100"/>
    <mergeCell ref="K101:L101"/>
    <mergeCell ref="B86:D86"/>
    <mergeCell ref="B94:D94"/>
    <mergeCell ref="D10:D11"/>
    <mergeCell ref="B18:D18"/>
    <mergeCell ref="B26:D26"/>
    <mergeCell ref="B36:D36"/>
    <mergeCell ref="B44:D44"/>
    <mergeCell ref="B54:D54"/>
    <mergeCell ref="B62:D62"/>
    <mergeCell ref="A88:I88"/>
    <mergeCell ref="A12:I12"/>
    <mergeCell ref="A28:B28"/>
    <mergeCell ref="A29:B29"/>
    <mergeCell ref="A19:I19"/>
  </mergeCells>
  <hyperlinks>
    <hyperlink ref="A115" r:id="rId1" xr:uid="{A9AFA79D-65D0-4917-B6F3-2EDE94BCA7D4}"/>
    <hyperlink ref="A116" r:id="rId2" xr:uid="{FEF37966-CE8C-4DC3-9C87-97BAFD3CDFC5}"/>
    <hyperlink ref="A117" r:id="rId3" xr:uid="{CE65D39E-37C2-4347-A6BA-9740A2B92E0C}"/>
    <hyperlink ref="A119" r:id="rId4" xr:uid="{5BB3D24A-6676-4001-B8CD-CB81FC01B92D}"/>
    <hyperlink ref="A120" r:id="rId5" xr:uid="{5F04B275-30D1-4875-A624-6256A1C4880A}"/>
    <hyperlink ref="A121" r:id="rId6" xr:uid="{D783FDB0-6262-4433-BB5F-DFF5C9B2A198}"/>
    <hyperlink ref="A122" r:id="rId7" xr:uid="{267D270E-A809-4535-9ECA-6AA6C1B465FD}"/>
    <hyperlink ref="A123" r:id="rId8" xr:uid="{0130144B-F5D2-473C-97DA-D2C770D069E2}"/>
    <hyperlink ref="A125" r:id="rId9" xr:uid="{E473629B-FC74-4CAF-8172-EFD990D660B0}"/>
    <hyperlink ref="A126" r:id="rId10" xr:uid="{F499F6C4-0A38-47E3-B709-6A0CD2CAD06E}"/>
    <hyperlink ref="A127" r:id="rId11" xr:uid="{5E225ABA-CA27-4062-9922-C2F3F059C79B}"/>
    <hyperlink ref="A128" r:id="rId12" xr:uid="{0C63F8AA-1A96-4E19-BA64-AA22D90C5994}"/>
    <hyperlink ref="A129" r:id="rId13" xr:uid="{242263E4-22F0-4588-A688-E73CF83CF6CE}"/>
    <hyperlink ref="A124" r:id="rId14" xr:uid="{7774B998-7B65-409C-8776-35A7CAE78A03}"/>
    <hyperlink ref="A118" r:id="rId15" xr:uid="{4A2C7FBF-772C-49BA-9170-AFA261CE6C39}"/>
    <hyperlink ref="A132" r:id="rId16" xr:uid="{BFFFFB8F-F7ED-4B2A-BD3F-88FD1C22E29B}"/>
    <hyperlink ref="A133" r:id="rId17" xr:uid="{8D90D70E-D3A3-459E-9BB7-302FAB8A55D9}"/>
    <hyperlink ref="A134" r:id="rId18" xr:uid="{8E7DCEF0-E5E2-453A-950B-3C0D15F53AA4}"/>
    <hyperlink ref="A135" r:id="rId19" xr:uid="{07780936-4D85-4E2E-AC48-B259B1AF7B09}"/>
    <hyperlink ref="A136" r:id="rId20" xr:uid="{1CD6F1DB-E409-4835-B7D3-56324325D2F0}"/>
    <hyperlink ref="A137" r:id="rId21" xr:uid="{DD16A960-E06E-446D-B8B9-00B6EF81AAAC}"/>
    <hyperlink ref="A138" r:id="rId22" display="https://uspdigital.usp.br/jupiterweb/obterDisciplina?sgldis=0323150&amp;codcur=3032&amp;codhab=5080" xr:uid="{580E44D6-FF69-423A-8D77-C5A39A033865}"/>
    <hyperlink ref="A139" r:id="rId23" xr:uid="{F5A4F7FC-2E97-4DC6-BA91-3BD281C87D47}"/>
    <hyperlink ref="A140" r:id="rId24" xr:uid="{305C23D1-49C9-4431-824F-F71F5A919F33}"/>
    <hyperlink ref="A141" r:id="rId25" xr:uid="{B4AD3DA1-2378-44A3-8548-BBD3456C7350}"/>
    <hyperlink ref="A142" r:id="rId26" xr:uid="{93954EB4-4AA0-4F1E-9A8B-45BFB1D0E7D4}"/>
    <hyperlink ref="A143" r:id="rId27" xr:uid="{5EC44347-0ECC-4BA8-81E4-AC0DCCB296ED}"/>
    <hyperlink ref="A144" r:id="rId28" xr:uid="{A5171743-9718-4EAE-8F00-AE1AD473EE94}"/>
    <hyperlink ref="A145" r:id="rId29" xr:uid="{093E7B6F-82DD-40B6-B331-70586D063B0A}"/>
    <hyperlink ref="A146" r:id="rId30" xr:uid="{A0395054-80BB-42D2-A1E6-C5E7D1A7CDE7}"/>
    <hyperlink ref="A147" r:id="rId31" xr:uid="{E961E9D1-C185-459D-B157-2D9AE5EF4707}"/>
  </hyperlinks>
  <pageMargins left="0.70866141732283472" right="0.51181102362204722" top="0.78740157480314965" bottom="0.78740157480314965" header="0" footer="0"/>
  <pageSetup paperSize="9" fitToHeight="0" orientation="portrait" r:id="rId32"/>
  <headerFooter>
    <oddFooter>&amp;CPágina &amp;P de</oddFooter>
  </headerFooter>
  <drawing r:id="rId3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96"/>
  <sheetViews>
    <sheetView topLeftCell="A10" zoomScale="115" zoomScaleNormal="115" workbookViewId="0">
      <selection activeCell="E24" sqref="E24"/>
    </sheetView>
  </sheetViews>
  <sheetFormatPr defaultColWidth="14.44140625" defaultRowHeight="15" customHeight="1"/>
  <cols>
    <col min="1" max="1" width="4.109375" style="63" customWidth="1"/>
    <col min="2" max="2" width="9.109375" style="63" customWidth="1"/>
    <col min="3" max="3" width="71.109375" style="63" customWidth="1"/>
    <col min="4" max="4" width="14.6640625" style="63" customWidth="1"/>
    <col min="5" max="5" width="9.44140625" style="65" customWidth="1"/>
    <col min="6" max="22" width="8.6640625" customWidth="1"/>
  </cols>
  <sheetData>
    <row r="1" spans="2:6" ht="13.5" customHeight="1">
      <c r="B1" s="64"/>
      <c r="D1" s="64"/>
    </row>
    <row r="2" spans="2:6" ht="13.5" customHeight="1">
      <c r="B2" s="66" t="s">
        <v>155</v>
      </c>
      <c r="C2" s="86" t="s">
        <v>156</v>
      </c>
      <c r="D2" s="87" t="s">
        <v>157</v>
      </c>
      <c r="E2" s="78" t="s">
        <v>186</v>
      </c>
    </row>
    <row r="3" spans="2:6" ht="13.5" customHeight="1">
      <c r="B3" s="70" t="s">
        <v>159</v>
      </c>
      <c r="C3" s="83" t="s">
        <v>160</v>
      </c>
      <c r="D3" s="79" t="s">
        <v>158</v>
      </c>
      <c r="E3" s="79" t="s">
        <v>187</v>
      </c>
      <c r="F3" s="60"/>
    </row>
    <row r="4" spans="2:6" ht="13.5" customHeight="1">
      <c r="B4" s="67" t="s">
        <v>85</v>
      </c>
      <c r="C4" s="82" t="s">
        <v>86</v>
      </c>
      <c r="D4" s="79" t="s">
        <v>158</v>
      </c>
      <c r="E4" s="79" t="s">
        <v>187</v>
      </c>
      <c r="F4" s="60"/>
    </row>
    <row r="5" spans="2:6" ht="13.5" customHeight="1">
      <c r="B5" s="67" t="s">
        <v>143</v>
      </c>
      <c r="C5" s="82" t="s">
        <v>144</v>
      </c>
      <c r="D5" s="79" t="s">
        <v>158</v>
      </c>
      <c r="E5" s="79" t="s">
        <v>187</v>
      </c>
      <c r="F5" s="60"/>
    </row>
    <row r="6" spans="2:6" ht="13.5" customHeight="1">
      <c r="B6" s="67" t="s">
        <v>113</v>
      </c>
      <c r="C6" s="82" t="s">
        <v>163</v>
      </c>
      <c r="D6" s="79" t="s">
        <v>158</v>
      </c>
      <c r="E6" s="79" t="s">
        <v>187</v>
      </c>
      <c r="F6" s="60"/>
    </row>
    <row r="7" spans="2:6" ht="13.5" customHeight="1">
      <c r="B7" s="67" t="s">
        <v>141</v>
      </c>
      <c r="C7" s="82" t="s">
        <v>164</v>
      </c>
      <c r="D7" s="79" t="s">
        <v>158</v>
      </c>
      <c r="E7" s="79" t="s">
        <v>187</v>
      </c>
      <c r="F7" s="60"/>
    </row>
    <row r="8" spans="2:6" ht="13.5" customHeight="1">
      <c r="B8" s="67" t="s">
        <v>134</v>
      </c>
      <c r="C8" s="82" t="s">
        <v>135</v>
      </c>
      <c r="D8" s="79" t="s">
        <v>165</v>
      </c>
      <c r="E8" s="78" t="s">
        <v>187</v>
      </c>
      <c r="F8" s="60"/>
    </row>
    <row r="9" spans="2:6" ht="13.5" customHeight="1">
      <c r="B9" s="67">
        <v>323150</v>
      </c>
      <c r="C9" s="82" t="s">
        <v>166</v>
      </c>
      <c r="D9" s="79" t="s">
        <v>165</v>
      </c>
      <c r="E9" s="78" t="s">
        <v>187</v>
      </c>
      <c r="F9" s="60"/>
    </row>
    <row r="10" spans="2:6" ht="13.5" customHeight="1">
      <c r="B10" s="67" t="s">
        <v>142</v>
      </c>
      <c r="C10" s="82" t="s">
        <v>169</v>
      </c>
      <c r="D10" s="79" t="s">
        <v>165</v>
      </c>
      <c r="E10" s="78" t="s">
        <v>187</v>
      </c>
      <c r="F10" s="60"/>
    </row>
    <row r="11" spans="2:6" ht="13.5" customHeight="1">
      <c r="B11" s="81" t="s">
        <v>170</v>
      </c>
      <c r="C11" s="82" t="s">
        <v>149</v>
      </c>
      <c r="D11" s="79" t="s">
        <v>165</v>
      </c>
      <c r="E11" s="78" t="s">
        <v>187</v>
      </c>
      <c r="F11" s="60"/>
    </row>
    <row r="12" spans="2:6" ht="13.5" customHeight="1">
      <c r="B12" s="67" t="s">
        <v>139</v>
      </c>
      <c r="C12" s="82" t="s">
        <v>140</v>
      </c>
      <c r="D12" s="79" t="s">
        <v>165</v>
      </c>
      <c r="E12" s="78" t="s">
        <v>187</v>
      </c>
      <c r="F12" s="60"/>
    </row>
    <row r="13" spans="2:6" ht="13.5" customHeight="1">
      <c r="B13" s="67" t="s">
        <v>171</v>
      </c>
      <c r="C13" s="82" t="s">
        <v>172</v>
      </c>
      <c r="D13" s="79" t="s">
        <v>165</v>
      </c>
      <c r="E13" s="78" t="s">
        <v>187</v>
      </c>
    </row>
    <row r="14" spans="2:6" ht="13.5" customHeight="1">
      <c r="B14" s="67" t="s">
        <v>83</v>
      </c>
      <c r="C14" s="82" t="s">
        <v>175</v>
      </c>
      <c r="D14" s="79" t="s">
        <v>174</v>
      </c>
      <c r="E14" s="78" t="s">
        <v>187</v>
      </c>
    </row>
    <row r="15" spans="2:6" ht="13.5" customHeight="1">
      <c r="B15" s="75" t="s">
        <v>150</v>
      </c>
      <c r="C15" s="82" t="s">
        <v>151</v>
      </c>
      <c r="D15" s="79" t="s">
        <v>174</v>
      </c>
      <c r="E15" s="78" t="s">
        <v>187</v>
      </c>
    </row>
    <row r="16" spans="2:6" ht="13.5" customHeight="1">
      <c r="B16" s="67" t="s">
        <v>131</v>
      </c>
      <c r="C16" s="82" t="s">
        <v>132</v>
      </c>
      <c r="D16" s="79" t="s">
        <v>178</v>
      </c>
      <c r="E16" s="78" t="s">
        <v>187</v>
      </c>
    </row>
    <row r="17" spans="2:10" ht="13.5" customHeight="1">
      <c r="B17" s="67" t="s">
        <v>115</v>
      </c>
      <c r="C17" s="82" t="s">
        <v>179</v>
      </c>
      <c r="D17" s="79" t="s">
        <v>178</v>
      </c>
      <c r="E17" s="78" t="s">
        <v>187</v>
      </c>
      <c r="I17" s="61"/>
      <c r="J17" s="60"/>
    </row>
    <row r="18" spans="2:10" ht="15.75" customHeight="1">
      <c r="B18" s="67" t="s">
        <v>152</v>
      </c>
      <c r="C18" s="82" t="s">
        <v>153</v>
      </c>
      <c r="D18" s="79" t="s">
        <v>178</v>
      </c>
      <c r="E18" s="78" t="s">
        <v>187</v>
      </c>
      <c r="I18" s="61"/>
      <c r="J18" s="60"/>
    </row>
    <row r="19" spans="2:10" ht="13.5" customHeight="1">
      <c r="B19" s="67" t="s">
        <v>127</v>
      </c>
      <c r="C19" s="82" t="s">
        <v>128</v>
      </c>
      <c r="D19" s="79" t="s">
        <v>158</v>
      </c>
      <c r="E19" s="79" t="s">
        <v>185</v>
      </c>
    </row>
    <row r="20" spans="2:10" ht="13.5" customHeight="1">
      <c r="B20" s="72" t="s">
        <v>161</v>
      </c>
      <c r="C20" s="83" t="s">
        <v>130</v>
      </c>
      <c r="D20" s="79" t="s">
        <v>158</v>
      </c>
      <c r="E20" s="79" t="s">
        <v>185</v>
      </c>
    </row>
    <row r="21" spans="2:10" ht="13.5" customHeight="1">
      <c r="B21" s="67" t="s">
        <v>162</v>
      </c>
      <c r="C21" s="82" t="s">
        <v>129</v>
      </c>
      <c r="D21" s="79" t="s">
        <v>158</v>
      </c>
      <c r="E21" s="79" t="s">
        <v>185</v>
      </c>
    </row>
    <row r="22" spans="2:10" ht="13.5" customHeight="1">
      <c r="B22" s="80" t="s">
        <v>119</v>
      </c>
      <c r="C22" s="84" t="s">
        <v>120</v>
      </c>
      <c r="D22" s="79" t="s">
        <v>158</v>
      </c>
      <c r="E22" s="79" t="s">
        <v>185</v>
      </c>
    </row>
    <row r="23" spans="2:10" ht="13.5" customHeight="1">
      <c r="B23" s="81" t="s">
        <v>121</v>
      </c>
      <c r="C23" s="82" t="s">
        <v>122</v>
      </c>
      <c r="D23" s="79" t="s">
        <v>165</v>
      </c>
      <c r="E23" s="79" t="s">
        <v>185</v>
      </c>
    </row>
    <row r="24" spans="2:10" ht="13.5" customHeight="1">
      <c r="B24" s="67" t="s">
        <v>167</v>
      </c>
      <c r="C24" s="82" t="s">
        <v>76</v>
      </c>
      <c r="D24" s="79" t="s">
        <v>165</v>
      </c>
      <c r="E24" s="78" t="s">
        <v>185</v>
      </c>
    </row>
    <row r="25" spans="2:10" ht="13.5" customHeight="1">
      <c r="B25" s="67" t="s">
        <v>136</v>
      </c>
      <c r="C25" s="82" t="s">
        <v>168</v>
      </c>
      <c r="D25" s="79" t="s">
        <v>165</v>
      </c>
      <c r="E25" s="78" t="s">
        <v>185</v>
      </c>
    </row>
    <row r="26" spans="2:10" ht="13.5" customHeight="1">
      <c r="B26" s="67" t="s">
        <v>137</v>
      </c>
      <c r="C26" s="82" t="s">
        <v>138</v>
      </c>
      <c r="D26" s="79" t="s">
        <v>165</v>
      </c>
      <c r="E26" s="78" t="s">
        <v>185</v>
      </c>
    </row>
    <row r="27" spans="2:10" ht="13.5" customHeight="1">
      <c r="B27" s="67" t="s">
        <v>124</v>
      </c>
      <c r="C27" s="82" t="s">
        <v>125</v>
      </c>
      <c r="D27" s="79" t="s">
        <v>165</v>
      </c>
      <c r="E27" s="78" t="s">
        <v>185</v>
      </c>
    </row>
    <row r="28" spans="2:10" ht="13.5" customHeight="1">
      <c r="B28" s="80" t="s">
        <v>117</v>
      </c>
      <c r="C28" s="85" t="s">
        <v>118</v>
      </c>
      <c r="D28" s="79" t="s">
        <v>165</v>
      </c>
      <c r="E28" s="78" t="s">
        <v>185</v>
      </c>
    </row>
    <row r="29" spans="2:10" ht="13.5" customHeight="1">
      <c r="B29" s="67" t="s">
        <v>123</v>
      </c>
      <c r="C29" s="82" t="s">
        <v>173</v>
      </c>
      <c r="D29" s="79" t="s">
        <v>174</v>
      </c>
      <c r="E29" s="78" t="s">
        <v>185</v>
      </c>
    </row>
    <row r="30" spans="2:10" ht="13.5" customHeight="1">
      <c r="B30" s="67" t="s">
        <v>133</v>
      </c>
      <c r="C30" s="82" t="s">
        <v>176</v>
      </c>
      <c r="D30" s="79" t="s">
        <v>174</v>
      </c>
      <c r="E30" s="78" t="s">
        <v>185</v>
      </c>
    </row>
    <row r="31" spans="2:10" ht="13.5" customHeight="1">
      <c r="B31" s="67" t="s">
        <v>126</v>
      </c>
      <c r="C31" s="82" t="s">
        <v>177</v>
      </c>
      <c r="D31" s="79" t="s">
        <v>178</v>
      </c>
      <c r="E31" s="78" t="s">
        <v>185</v>
      </c>
    </row>
    <row r="32" spans="2:10" ht="13.5" customHeight="1">
      <c r="B32" s="67" t="s">
        <v>145</v>
      </c>
      <c r="C32" s="82" t="s">
        <v>146</v>
      </c>
      <c r="D32" s="79" t="s">
        <v>178</v>
      </c>
      <c r="E32" s="78" t="s">
        <v>185</v>
      </c>
    </row>
    <row r="33" spans="2:6" ht="13.5" customHeight="1">
      <c r="B33" s="67" t="s">
        <v>147</v>
      </c>
      <c r="C33" s="82" t="s">
        <v>148</v>
      </c>
      <c r="D33" s="79" t="s">
        <v>178</v>
      </c>
      <c r="E33" s="79" t="s">
        <v>185</v>
      </c>
      <c r="F33" s="60"/>
    </row>
    <row r="34" spans="2:6" ht="13.5" customHeight="1">
      <c r="B34" s="64"/>
      <c r="D34" s="76"/>
      <c r="E34" s="69"/>
      <c r="F34" s="60"/>
    </row>
    <row r="35" spans="2:6" ht="13.5" customHeight="1">
      <c r="B35" s="77"/>
      <c r="D35" s="76"/>
      <c r="E35" s="69"/>
      <c r="F35" s="60"/>
    </row>
    <row r="36" spans="2:6" ht="13.5" customHeight="1">
      <c r="B36" s="77"/>
      <c r="D36" s="76"/>
      <c r="E36" s="69"/>
      <c r="F36" s="60"/>
    </row>
    <row r="37" spans="2:6" ht="13.5" customHeight="1">
      <c r="B37" s="77"/>
      <c r="D37" s="76"/>
      <c r="E37" s="69"/>
      <c r="F37" s="60"/>
    </row>
    <row r="38" spans="2:6" ht="13.5" customHeight="1">
      <c r="B38" s="77"/>
      <c r="D38" s="76"/>
      <c r="E38" s="69"/>
      <c r="F38" s="60"/>
    </row>
    <row r="39" spans="2:6" ht="13.5" customHeight="1">
      <c r="B39" s="77"/>
      <c r="D39" s="76"/>
      <c r="E39" s="69"/>
      <c r="F39" s="60"/>
    </row>
    <row r="40" spans="2:6" ht="13.5" customHeight="1">
      <c r="B40" s="77"/>
      <c r="D40" s="76"/>
      <c r="E40" s="69"/>
      <c r="F40" s="60"/>
    </row>
    <row r="41" spans="2:6" ht="13.5" customHeight="1">
      <c r="B41" s="77"/>
      <c r="D41" s="76"/>
      <c r="E41" s="69"/>
      <c r="F41" s="60"/>
    </row>
    <row r="42" spans="2:6" ht="13.5" customHeight="1">
      <c r="B42" s="77"/>
      <c r="D42" s="76"/>
      <c r="E42" s="69"/>
      <c r="F42" s="60"/>
    </row>
    <row r="43" spans="2:6" ht="13.5" customHeight="1">
      <c r="B43" s="77"/>
      <c r="D43" s="76"/>
      <c r="E43" s="69"/>
      <c r="F43" s="60"/>
    </row>
    <row r="44" spans="2:6" ht="13.5" customHeight="1">
      <c r="B44" s="77"/>
      <c r="D44" s="76"/>
      <c r="E44" s="69"/>
      <c r="F44" s="60"/>
    </row>
    <row r="45" spans="2:6" ht="13.5" customHeight="1">
      <c r="B45" s="77"/>
      <c r="D45" s="76"/>
      <c r="E45" s="69"/>
      <c r="F45" s="60"/>
    </row>
    <row r="46" spans="2:6" ht="13.5" customHeight="1">
      <c r="B46" s="77"/>
      <c r="D46" s="76"/>
      <c r="E46" s="69"/>
      <c r="F46" s="60"/>
    </row>
    <row r="47" spans="2:6" ht="13.5" customHeight="1">
      <c r="B47" s="77"/>
      <c r="D47" s="76"/>
      <c r="E47" s="69"/>
      <c r="F47" s="60"/>
    </row>
    <row r="48" spans="2:6" ht="13.5" customHeight="1">
      <c r="B48" s="77"/>
      <c r="D48" s="76"/>
      <c r="E48" s="69"/>
      <c r="F48" s="60"/>
    </row>
    <row r="49" spans="2:4" ht="13.5" customHeight="1">
      <c r="B49" s="64"/>
      <c r="D49" s="64"/>
    </row>
    <row r="50" spans="2:4" ht="13.5" customHeight="1">
      <c r="B50" s="64"/>
      <c r="D50" s="64"/>
    </row>
    <row r="51" spans="2:4" ht="13.5" customHeight="1">
      <c r="B51" s="64"/>
      <c r="D51" s="64"/>
    </row>
    <row r="52" spans="2:4" ht="13.5" customHeight="1">
      <c r="B52" s="64"/>
      <c r="D52" s="64"/>
    </row>
    <row r="53" spans="2:4" ht="13.5" customHeight="1">
      <c r="B53" s="64"/>
      <c r="D53" s="64"/>
    </row>
    <row r="54" spans="2:4" ht="13.5" customHeight="1">
      <c r="B54" s="64"/>
      <c r="D54" s="64"/>
    </row>
    <row r="55" spans="2:4" ht="13.5" customHeight="1">
      <c r="B55" s="64"/>
      <c r="D55" s="64"/>
    </row>
    <row r="56" spans="2:4" ht="13.5" customHeight="1">
      <c r="B56" s="64"/>
      <c r="D56" s="64"/>
    </row>
    <row r="57" spans="2:4" ht="13.5" customHeight="1">
      <c r="B57" s="64"/>
      <c r="D57" s="64"/>
    </row>
    <row r="58" spans="2:4" ht="13.5" customHeight="1">
      <c r="B58" s="64"/>
      <c r="D58" s="64"/>
    </row>
    <row r="59" spans="2:4" ht="13.5" customHeight="1">
      <c r="B59" s="64"/>
      <c r="D59" s="64"/>
    </row>
    <row r="60" spans="2:4" ht="13.5" customHeight="1">
      <c r="B60" s="64"/>
      <c r="D60" s="64"/>
    </row>
    <row r="61" spans="2:4" ht="13.5" customHeight="1">
      <c r="B61" s="64"/>
      <c r="D61" s="64"/>
    </row>
    <row r="62" spans="2:4" ht="13.5" customHeight="1">
      <c r="B62" s="64"/>
      <c r="D62" s="64"/>
    </row>
    <row r="63" spans="2:4" ht="13.5" customHeight="1">
      <c r="B63" s="64"/>
      <c r="D63" s="64"/>
    </row>
    <row r="64" spans="2:4" ht="13.5" customHeight="1">
      <c r="B64" s="64"/>
      <c r="D64" s="64"/>
    </row>
    <row r="65" spans="2:4" ht="13.5" customHeight="1">
      <c r="B65" s="64"/>
      <c r="D65" s="64"/>
    </row>
    <row r="66" spans="2:4" ht="13.5" customHeight="1">
      <c r="B66" s="64"/>
      <c r="D66" s="64"/>
    </row>
    <row r="67" spans="2:4" ht="13.5" customHeight="1">
      <c r="B67" s="64"/>
      <c r="D67" s="64"/>
    </row>
    <row r="68" spans="2:4" ht="13.5" customHeight="1">
      <c r="B68" s="64"/>
      <c r="D68" s="64"/>
    </row>
    <row r="69" spans="2:4" ht="13.5" customHeight="1">
      <c r="B69" s="64"/>
      <c r="D69" s="64"/>
    </row>
    <row r="70" spans="2:4" ht="13.5" customHeight="1">
      <c r="B70" s="64"/>
      <c r="D70" s="64"/>
    </row>
    <row r="71" spans="2:4" ht="13.5" customHeight="1">
      <c r="B71" s="64"/>
      <c r="D71" s="64"/>
    </row>
    <row r="72" spans="2:4" ht="13.5" customHeight="1">
      <c r="B72" s="64"/>
      <c r="D72" s="64"/>
    </row>
    <row r="73" spans="2:4" ht="13.5" customHeight="1">
      <c r="B73" s="64"/>
      <c r="D73" s="64"/>
    </row>
    <row r="74" spans="2:4" ht="13.5" customHeight="1">
      <c r="B74" s="64"/>
      <c r="D74" s="64"/>
    </row>
    <row r="75" spans="2:4" ht="13.5" customHeight="1">
      <c r="B75" s="64"/>
      <c r="D75" s="64"/>
    </row>
    <row r="76" spans="2:4" ht="13.5" customHeight="1">
      <c r="B76" s="64"/>
      <c r="D76" s="64"/>
    </row>
    <row r="77" spans="2:4" ht="13.5" customHeight="1">
      <c r="B77" s="64"/>
      <c r="D77" s="64"/>
    </row>
    <row r="78" spans="2:4" ht="13.5" customHeight="1">
      <c r="B78" s="64"/>
      <c r="D78" s="64"/>
    </row>
    <row r="79" spans="2:4" ht="13.5" customHeight="1">
      <c r="B79" s="64"/>
      <c r="D79" s="64"/>
    </row>
    <row r="80" spans="2:4" ht="13.5" customHeight="1">
      <c r="B80" s="64"/>
      <c r="D80" s="64"/>
    </row>
    <row r="81" spans="2:4" ht="13.5" customHeight="1">
      <c r="B81" s="64"/>
      <c r="D81" s="64"/>
    </row>
    <row r="82" spans="2:4" ht="13.5" customHeight="1">
      <c r="B82" s="64"/>
      <c r="D82" s="64"/>
    </row>
    <row r="83" spans="2:4" ht="13.5" customHeight="1">
      <c r="B83" s="64"/>
      <c r="D83" s="64"/>
    </row>
    <row r="84" spans="2:4" ht="13.5" customHeight="1">
      <c r="B84" s="64"/>
      <c r="D84" s="64"/>
    </row>
    <row r="85" spans="2:4" ht="13.5" customHeight="1">
      <c r="B85" s="64"/>
      <c r="D85" s="64"/>
    </row>
    <row r="86" spans="2:4" ht="13.5" customHeight="1">
      <c r="B86" s="64"/>
      <c r="D86" s="64"/>
    </row>
    <row r="87" spans="2:4" ht="13.5" customHeight="1">
      <c r="B87" s="64"/>
      <c r="D87" s="64"/>
    </row>
    <row r="88" spans="2:4" ht="13.5" customHeight="1">
      <c r="B88" s="64"/>
      <c r="D88" s="64"/>
    </row>
    <row r="89" spans="2:4" ht="13.5" customHeight="1">
      <c r="B89" s="64"/>
      <c r="D89" s="64"/>
    </row>
    <row r="90" spans="2:4" ht="13.5" customHeight="1">
      <c r="B90" s="64"/>
      <c r="D90" s="64"/>
    </row>
    <row r="91" spans="2:4" ht="13.5" customHeight="1">
      <c r="B91" s="64"/>
      <c r="D91" s="64"/>
    </row>
    <row r="92" spans="2:4" ht="13.5" customHeight="1">
      <c r="B92" s="64"/>
      <c r="D92" s="64"/>
    </row>
    <row r="93" spans="2:4" ht="13.5" customHeight="1">
      <c r="B93" s="64"/>
      <c r="D93" s="64"/>
    </row>
    <row r="94" spans="2:4" ht="13.5" customHeight="1">
      <c r="B94" s="64"/>
      <c r="D94" s="64"/>
    </row>
    <row r="95" spans="2:4" ht="13.5" customHeight="1">
      <c r="B95" s="64"/>
      <c r="D95" s="64"/>
    </row>
    <row r="96" spans="2:4" ht="13.5" customHeight="1">
      <c r="B96" s="64"/>
      <c r="D96" s="64"/>
    </row>
    <row r="97" spans="2:4" ht="13.5" customHeight="1">
      <c r="B97" s="64"/>
      <c r="D97" s="64"/>
    </row>
    <row r="98" spans="2:4" ht="13.5" customHeight="1">
      <c r="B98" s="64"/>
      <c r="D98" s="64"/>
    </row>
    <row r="99" spans="2:4" ht="13.5" customHeight="1">
      <c r="B99" s="64"/>
      <c r="D99" s="64"/>
    </row>
    <row r="100" spans="2:4" ht="13.5" customHeight="1">
      <c r="B100" s="64"/>
      <c r="D100" s="64"/>
    </row>
    <row r="101" spans="2:4" ht="13.5" customHeight="1">
      <c r="B101" s="64"/>
      <c r="D101" s="64"/>
    </row>
    <row r="102" spans="2:4" ht="13.5" customHeight="1">
      <c r="B102" s="64"/>
      <c r="D102" s="64"/>
    </row>
    <row r="103" spans="2:4" ht="13.5" customHeight="1">
      <c r="B103" s="64"/>
      <c r="D103" s="64"/>
    </row>
    <row r="104" spans="2:4" ht="13.5" customHeight="1">
      <c r="B104" s="64"/>
      <c r="D104" s="64"/>
    </row>
    <row r="105" spans="2:4" ht="13.5" customHeight="1">
      <c r="B105" s="64"/>
      <c r="D105" s="64"/>
    </row>
    <row r="106" spans="2:4" ht="13.5" customHeight="1">
      <c r="B106" s="64"/>
      <c r="D106" s="64"/>
    </row>
    <row r="107" spans="2:4" ht="13.5" customHeight="1">
      <c r="B107" s="64"/>
      <c r="D107" s="64"/>
    </row>
    <row r="108" spans="2:4" ht="13.5" customHeight="1">
      <c r="B108" s="64"/>
      <c r="D108" s="64"/>
    </row>
    <row r="109" spans="2:4" ht="13.5" customHeight="1">
      <c r="B109" s="64"/>
      <c r="D109" s="64"/>
    </row>
    <row r="110" spans="2:4" ht="13.5" customHeight="1">
      <c r="B110" s="64"/>
      <c r="D110" s="64"/>
    </row>
    <row r="111" spans="2:4" ht="13.5" customHeight="1">
      <c r="B111" s="64"/>
      <c r="D111" s="64"/>
    </row>
    <row r="112" spans="2:4" ht="13.5" customHeight="1">
      <c r="B112" s="64"/>
      <c r="D112" s="64"/>
    </row>
    <row r="113" spans="2:4" ht="13.5" customHeight="1">
      <c r="B113" s="64"/>
      <c r="D113" s="64"/>
    </row>
    <row r="114" spans="2:4" ht="13.5" customHeight="1">
      <c r="B114" s="64"/>
      <c r="D114" s="64"/>
    </row>
    <row r="115" spans="2:4" ht="13.5" customHeight="1">
      <c r="B115" s="64"/>
      <c r="D115" s="64"/>
    </row>
    <row r="116" spans="2:4" ht="13.5" customHeight="1">
      <c r="B116" s="64"/>
      <c r="D116" s="64"/>
    </row>
    <row r="117" spans="2:4" ht="13.5" customHeight="1">
      <c r="B117" s="64"/>
      <c r="D117" s="64"/>
    </row>
    <row r="118" spans="2:4" ht="13.5" customHeight="1">
      <c r="B118" s="64"/>
      <c r="D118" s="64"/>
    </row>
    <row r="119" spans="2:4" ht="13.5" customHeight="1">
      <c r="B119" s="64"/>
      <c r="D119" s="64"/>
    </row>
    <row r="120" spans="2:4" ht="13.5" customHeight="1">
      <c r="B120" s="64"/>
      <c r="D120" s="64"/>
    </row>
    <row r="121" spans="2:4" ht="13.5" customHeight="1">
      <c r="B121" s="64"/>
      <c r="D121" s="64"/>
    </row>
    <row r="122" spans="2:4" ht="13.5" customHeight="1">
      <c r="B122" s="64"/>
      <c r="D122" s="64"/>
    </row>
    <row r="123" spans="2:4" ht="13.5" customHeight="1">
      <c r="B123" s="64"/>
      <c r="D123" s="64"/>
    </row>
    <row r="124" spans="2:4" ht="13.5" customHeight="1">
      <c r="B124" s="64"/>
      <c r="D124" s="64"/>
    </row>
    <row r="125" spans="2:4" ht="13.5" customHeight="1">
      <c r="B125" s="64"/>
      <c r="D125" s="64"/>
    </row>
    <row r="126" spans="2:4" ht="13.5" customHeight="1">
      <c r="B126" s="64"/>
      <c r="D126" s="64"/>
    </row>
    <row r="127" spans="2:4" ht="13.5" customHeight="1">
      <c r="B127" s="64"/>
      <c r="D127" s="64"/>
    </row>
    <row r="128" spans="2:4" ht="13.5" customHeight="1">
      <c r="B128" s="64"/>
      <c r="D128" s="64"/>
    </row>
    <row r="129" spans="2:4" ht="13.5" customHeight="1">
      <c r="B129" s="64"/>
      <c r="D129" s="64"/>
    </row>
    <row r="130" spans="2:4" ht="13.5" customHeight="1">
      <c r="B130" s="64"/>
      <c r="D130" s="64"/>
    </row>
    <row r="131" spans="2:4" ht="13.5" customHeight="1">
      <c r="B131" s="64"/>
      <c r="D131" s="64"/>
    </row>
    <row r="132" spans="2:4" ht="13.5" customHeight="1">
      <c r="B132" s="64"/>
      <c r="D132" s="64"/>
    </row>
    <row r="133" spans="2:4" ht="13.5" customHeight="1">
      <c r="B133" s="64"/>
      <c r="D133" s="64"/>
    </row>
    <row r="134" spans="2:4" ht="13.5" customHeight="1">
      <c r="B134" s="64"/>
      <c r="D134" s="64"/>
    </row>
    <row r="135" spans="2:4" ht="13.5" customHeight="1">
      <c r="B135" s="64"/>
      <c r="D135" s="64"/>
    </row>
    <row r="136" spans="2:4" ht="13.5" customHeight="1">
      <c r="B136" s="64"/>
      <c r="D136" s="64"/>
    </row>
    <row r="137" spans="2:4" ht="13.5" customHeight="1">
      <c r="B137" s="64"/>
      <c r="D137" s="64"/>
    </row>
    <row r="138" spans="2:4" ht="13.5" customHeight="1">
      <c r="B138" s="64"/>
      <c r="D138" s="64"/>
    </row>
    <row r="139" spans="2:4" ht="13.5" customHeight="1">
      <c r="B139" s="64"/>
      <c r="D139" s="64"/>
    </row>
    <row r="140" spans="2:4" ht="13.5" customHeight="1">
      <c r="B140" s="64"/>
      <c r="D140" s="64"/>
    </row>
    <row r="141" spans="2:4" ht="13.5" customHeight="1">
      <c r="B141" s="64"/>
      <c r="D141" s="64"/>
    </row>
    <row r="142" spans="2:4" ht="13.5" customHeight="1">
      <c r="B142" s="64"/>
      <c r="D142" s="64"/>
    </row>
    <row r="143" spans="2:4" ht="13.5" customHeight="1">
      <c r="B143" s="64"/>
      <c r="D143" s="64"/>
    </row>
    <row r="144" spans="2:4" ht="13.5" customHeight="1">
      <c r="B144" s="64"/>
      <c r="D144" s="64"/>
    </row>
    <row r="145" spans="2:4" ht="13.5" customHeight="1">
      <c r="B145" s="64"/>
      <c r="D145" s="64"/>
    </row>
    <row r="146" spans="2:4" ht="13.5" customHeight="1">
      <c r="B146" s="64"/>
      <c r="D146" s="64"/>
    </row>
    <row r="147" spans="2:4" ht="13.5" customHeight="1">
      <c r="B147" s="64"/>
      <c r="D147" s="64"/>
    </row>
    <row r="148" spans="2:4" ht="13.5" customHeight="1">
      <c r="B148" s="64"/>
      <c r="D148" s="64"/>
    </row>
    <row r="149" spans="2:4" ht="13.5" customHeight="1">
      <c r="B149" s="64"/>
      <c r="D149" s="64"/>
    </row>
    <row r="150" spans="2:4" ht="13.5" customHeight="1">
      <c r="B150" s="64"/>
      <c r="D150" s="64"/>
    </row>
    <row r="151" spans="2:4" ht="13.5" customHeight="1">
      <c r="B151" s="64"/>
      <c r="D151" s="64"/>
    </row>
    <row r="152" spans="2:4" ht="13.5" customHeight="1">
      <c r="B152" s="64"/>
      <c r="D152" s="64"/>
    </row>
    <row r="153" spans="2:4" ht="13.5" customHeight="1">
      <c r="B153" s="64"/>
      <c r="D153" s="64"/>
    </row>
    <row r="154" spans="2:4" ht="13.5" customHeight="1">
      <c r="B154" s="64"/>
      <c r="D154" s="64"/>
    </row>
    <row r="155" spans="2:4" ht="13.5" customHeight="1">
      <c r="B155" s="64"/>
      <c r="D155" s="64"/>
    </row>
    <row r="156" spans="2:4" ht="13.5" customHeight="1">
      <c r="B156" s="64"/>
      <c r="D156" s="64"/>
    </row>
    <row r="157" spans="2:4" ht="13.5" customHeight="1">
      <c r="B157" s="64"/>
      <c r="D157" s="64"/>
    </row>
    <row r="158" spans="2:4" ht="13.5" customHeight="1">
      <c r="B158" s="64"/>
      <c r="D158" s="64"/>
    </row>
    <row r="159" spans="2:4" ht="13.5" customHeight="1">
      <c r="B159" s="64"/>
      <c r="D159" s="64"/>
    </row>
    <row r="160" spans="2:4" ht="13.5" customHeight="1">
      <c r="B160" s="64"/>
      <c r="D160" s="64"/>
    </row>
    <row r="161" spans="2:4" ht="13.5" customHeight="1">
      <c r="B161" s="64"/>
      <c r="D161" s="64"/>
    </row>
    <row r="162" spans="2:4" ht="13.5" customHeight="1">
      <c r="B162" s="64"/>
      <c r="D162" s="64"/>
    </row>
    <row r="163" spans="2:4" ht="13.5" customHeight="1">
      <c r="B163" s="64"/>
      <c r="D163" s="64"/>
    </row>
    <row r="164" spans="2:4" ht="13.5" customHeight="1">
      <c r="B164" s="64"/>
      <c r="D164" s="64"/>
    </row>
    <row r="165" spans="2:4" ht="13.5" customHeight="1">
      <c r="B165" s="64"/>
      <c r="D165" s="64"/>
    </row>
    <row r="166" spans="2:4" ht="13.5" customHeight="1">
      <c r="B166" s="64"/>
      <c r="D166" s="64"/>
    </row>
    <row r="167" spans="2:4" ht="13.5" customHeight="1">
      <c r="B167" s="64"/>
      <c r="D167" s="64"/>
    </row>
    <row r="168" spans="2:4" ht="13.5" customHeight="1">
      <c r="B168" s="64"/>
      <c r="D168" s="64"/>
    </row>
    <row r="169" spans="2:4" ht="13.5" customHeight="1">
      <c r="B169" s="64"/>
      <c r="D169" s="64"/>
    </row>
    <row r="170" spans="2:4" ht="13.5" customHeight="1">
      <c r="B170" s="64"/>
      <c r="D170" s="64"/>
    </row>
    <row r="171" spans="2:4" ht="13.5" customHeight="1">
      <c r="B171" s="64"/>
      <c r="D171" s="64"/>
    </row>
    <row r="172" spans="2:4" ht="13.5" customHeight="1">
      <c r="B172" s="64"/>
      <c r="D172" s="64"/>
    </row>
    <row r="173" spans="2:4" ht="13.5" customHeight="1">
      <c r="B173" s="64"/>
      <c r="D173" s="64"/>
    </row>
    <row r="174" spans="2:4" ht="13.5" customHeight="1">
      <c r="B174" s="64"/>
      <c r="D174" s="64"/>
    </row>
    <row r="175" spans="2:4" ht="13.5" customHeight="1">
      <c r="B175" s="64"/>
      <c r="D175" s="64"/>
    </row>
    <row r="176" spans="2:4" ht="13.5" customHeight="1">
      <c r="B176" s="64"/>
      <c r="D176" s="64"/>
    </row>
    <row r="177" spans="2:4" ht="13.5" customHeight="1">
      <c r="B177" s="64"/>
      <c r="D177" s="64"/>
    </row>
    <row r="178" spans="2:4" ht="13.5" customHeight="1">
      <c r="B178" s="64"/>
      <c r="D178" s="64"/>
    </row>
    <row r="179" spans="2:4" ht="13.5" customHeight="1">
      <c r="B179" s="64"/>
      <c r="D179" s="64"/>
    </row>
    <row r="180" spans="2:4" ht="13.5" customHeight="1">
      <c r="B180" s="64"/>
      <c r="D180" s="64"/>
    </row>
    <row r="181" spans="2:4" ht="13.5" customHeight="1">
      <c r="B181" s="64"/>
      <c r="D181" s="64"/>
    </row>
    <row r="182" spans="2:4" ht="13.5" customHeight="1">
      <c r="B182" s="64"/>
      <c r="D182" s="64"/>
    </row>
    <row r="183" spans="2:4" ht="13.5" customHeight="1">
      <c r="B183" s="64"/>
      <c r="D183" s="64"/>
    </row>
    <row r="184" spans="2:4" ht="13.5" customHeight="1">
      <c r="B184" s="64"/>
      <c r="D184" s="64"/>
    </row>
    <row r="185" spans="2:4" ht="13.5" customHeight="1">
      <c r="B185" s="64"/>
      <c r="D185" s="64"/>
    </row>
    <row r="186" spans="2:4" ht="13.5" customHeight="1">
      <c r="B186" s="64"/>
      <c r="D186" s="64"/>
    </row>
    <row r="187" spans="2:4" ht="13.5" customHeight="1">
      <c r="B187" s="64"/>
      <c r="D187" s="64"/>
    </row>
    <row r="188" spans="2:4" ht="13.5" customHeight="1">
      <c r="B188" s="64"/>
      <c r="D188" s="64"/>
    </row>
    <row r="189" spans="2:4" ht="13.5" customHeight="1">
      <c r="B189" s="64"/>
      <c r="D189" s="64"/>
    </row>
    <row r="190" spans="2:4" ht="13.5" customHeight="1">
      <c r="B190" s="64"/>
      <c r="D190" s="64"/>
    </row>
    <row r="191" spans="2:4" ht="13.5" customHeight="1">
      <c r="B191" s="64"/>
      <c r="D191" s="64"/>
    </row>
    <row r="192" spans="2:4" ht="13.5" customHeight="1">
      <c r="B192" s="64"/>
      <c r="D192" s="64"/>
    </row>
    <row r="193" spans="2:4" ht="13.5" customHeight="1">
      <c r="B193" s="64"/>
      <c r="D193" s="64"/>
    </row>
    <row r="194" spans="2:4" ht="13.5" customHeight="1">
      <c r="B194" s="64"/>
      <c r="D194" s="64"/>
    </row>
    <row r="195" spans="2:4" ht="13.5" customHeight="1">
      <c r="B195" s="64"/>
      <c r="D195" s="64"/>
    </row>
    <row r="196" spans="2:4" ht="13.5" customHeight="1">
      <c r="B196" s="64"/>
      <c r="D196" s="64"/>
    </row>
    <row r="197" spans="2:4" ht="13.5" customHeight="1">
      <c r="B197" s="64"/>
      <c r="D197" s="64"/>
    </row>
    <row r="198" spans="2:4" ht="13.5" customHeight="1">
      <c r="B198" s="64"/>
      <c r="D198" s="64"/>
    </row>
    <row r="199" spans="2:4" ht="13.5" customHeight="1">
      <c r="B199" s="64"/>
      <c r="D199" s="64"/>
    </row>
    <row r="200" spans="2:4" ht="13.5" customHeight="1">
      <c r="B200" s="64"/>
      <c r="D200" s="64"/>
    </row>
    <row r="201" spans="2:4" ht="13.5" customHeight="1">
      <c r="B201" s="64"/>
      <c r="D201" s="64"/>
    </row>
    <row r="202" spans="2:4" ht="13.5" customHeight="1">
      <c r="B202" s="64"/>
      <c r="D202" s="64"/>
    </row>
    <row r="203" spans="2:4" ht="13.5" customHeight="1">
      <c r="B203" s="64"/>
      <c r="D203" s="64"/>
    </row>
    <row r="204" spans="2:4" ht="13.5" customHeight="1">
      <c r="B204" s="64"/>
      <c r="D204" s="64"/>
    </row>
    <row r="205" spans="2:4" ht="13.5" customHeight="1">
      <c r="B205" s="64"/>
      <c r="D205" s="64"/>
    </row>
    <row r="206" spans="2:4" ht="13.5" customHeight="1">
      <c r="B206" s="64"/>
      <c r="D206" s="64"/>
    </row>
    <row r="207" spans="2:4" ht="13.5" customHeight="1">
      <c r="B207" s="64"/>
      <c r="D207" s="64"/>
    </row>
    <row r="208" spans="2:4" ht="13.5" customHeight="1">
      <c r="B208" s="64"/>
      <c r="D208" s="64"/>
    </row>
    <row r="209" spans="2:4" ht="13.5" customHeight="1">
      <c r="B209" s="64"/>
      <c r="D209" s="64"/>
    </row>
    <row r="210" spans="2:4" ht="13.5" customHeight="1">
      <c r="B210" s="64"/>
      <c r="D210" s="64"/>
    </row>
    <row r="211" spans="2:4" ht="13.5" customHeight="1">
      <c r="B211" s="64"/>
      <c r="D211" s="64"/>
    </row>
    <row r="212" spans="2:4" ht="13.5" customHeight="1">
      <c r="B212" s="64"/>
      <c r="D212" s="64"/>
    </row>
    <row r="213" spans="2:4" ht="13.5" customHeight="1">
      <c r="B213" s="64"/>
      <c r="D213" s="64"/>
    </row>
    <row r="214" spans="2:4" ht="13.5" customHeight="1">
      <c r="B214" s="64"/>
      <c r="D214" s="64"/>
    </row>
    <row r="215" spans="2:4" ht="13.5" customHeight="1">
      <c r="B215" s="64"/>
      <c r="D215" s="64"/>
    </row>
    <row r="216" spans="2:4" ht="13.5" customHeight="1">
      <c r="B216" s="64"/>
      <c r="D216" s="64"/>
    </row>
    <row r="217" spans="2:4" ht="13.5" customHeight="1">
      <c r="B217" s="64"/>
      <c r="D217" s="64"/>
    </row>
    <row r="218" spans="2:4" ht="13.5" customHeight="1">
      <c r="B218" s="64"/>
      <c r="D218" s="64"/>
    </row>
    <row r="219" spans="2:4" ht="13.5" customHeight="1">
      <c r="B219" s="64"/>
      <c r="D219" s="64"/>
    </row>
    <row r="220" spans="2:4" ht="13.5" customHeight="1">
      <c r="B220" s="64"/>
      <c r="D220" s="64"/>
    </row>
    <row r="221" spans="2:4" ht="13.5" customHeight="1">
      <c r="B221" s="64"/>
      <c r="D221" s="64"/>
    </row>
    <row r="222" spans="2:4" ht="13.5" customHeight="1">
      <c r="B222" s="64"/>
      <c r="D222" s="64"/>
    </row>
    <row r="223" spans="2:4" ht="13.5" customHeight="1">
      <c r="B223" s="64"/>
      <c r="D223" s="64"/>
    </row>
    <row r="224" spans="2:4" ht="13.5" customHeight="1">
      <c r="B224" s="64"/>
      <c r="D224" s="64"/>
    </row>
    <row r="225" spans="2:4" ht="13.5" customHeight="1">
      <c r="B225" s="64"/>
      <c r="D225" s="64"/>
    </row>
    <row r="226" spans="2:4" ht="13.5" customHeight="1">
      <c r="B226" s="64"/>
      <c r="D226" s="64"/>
    </row>
    <row r="227" spans="2:4" ht="13.5" customHeight="1">
      <c r="B227" s="64"/>
      <c r="D227" s="64"/>
    </row>
    <row r="228" spans="2:4" ht="13.5" customHeight="1">
      <c r="B228" s="64"/>
      <c r="D228" s="64"/>
    </row>
    <row r="229" spans="2:4" ht="13.5" customHeight="1">
      <c r="B229" s="64"/>
      <c r="D229" s="64"/>
    </row>
    <row r="230" spans="2:4" ht="13.5" customHeight="1">
      <c r="B230" s="64"/>
      <c r="D230" s="64"/>
    </row>
    <row r="231" spans="2:4" ht="13.5" customHeight="1">
      <c r="B231" s="64"/>
      <c r="D231" s="64"/>
    </row>
    <row r="232" spans="2:4" ht="13.5" customHeight="1">
      <c r="B232" s="64"/>
      <c r="D232" s="64"/>
    </row>
    <row r="233" spans="2:4" ht="13.5" customHeight="1">
      <c r="B233" s="64"/>
      <c r="D233" s="64"/>
    </row>
    <row r="234" spans="2:4" ht="13.5" customHeight="1">
      <c r="B234" s="64"/>
      <c r="D234" s="64"/>
    </row>
    <row r="235" spans="2:4" ht="13.5" customHeight="1">
      <c r="B235" s="64"/>
      <c r="D235" s="64"/>
    </row>
    <row r="236" spans="2:4" ht="13.5" customHeight="1">
      <c r="B236" s="64"/>
      <c r="D236" s="64"/>
    </row>
    <row r="237" spans="2:4" ht="13.5" customHeight="1">
      <c r="B237" s="64"/>
      <c r="D237" s="64"/>
    </row>
    <row r="238" spans="2:4" ht="13.5" customHeight="1">
      <c r="B238" s="64"/>
      <c r="D238" s="64"/>
    </row>
    <row r="239" spans="2:4" ht="13.5" customHeight="1">
      <c r="B239" s="64"/>
      <c r="D239" s="64"/>
    </row>
    <row r="240" spans="2:4" ht="13.5" customHeight="1">
      <c r="B240" s="64"/>
      <c r="D240" s="64"/>
    </row>
    <row r="241" spans="2:4" ht="13.5" customHeight="1">
      <c r="B241" s="64"/>
      <c r="D241" s="64"/>
    </row>
    <row r="242" spans="2:4" ht="13.5" customHeight="1">
      <c r="B242" s="64"/>
      <c r="D242" s="64"/>
    </row>
    <row r="243" spans="2:4" ht="13.5" customHeight="1">
      <c r="B243" s="64"/>
      <c r="D243" s="64"/>
    </row>
    <row r="244" spans="2:4" ht="13.5" customHeight="1">
      <c r="B244" s="64"/>
      <c r="D244" s="64"/>
    </row>
    <row r="245" spans="2:4" ht="13.5" customHeight="1">
      <c r="B245" s="64"/>
      <c r="D245" s="64"/>
    </row>
    <row r="246" spans="2:4" ht="13.5" customHeight="1">
      <c r="B246" s="64"/>
      <c r="D246" s="64"/>
    </row>
    <row r="247" spans="2:4" ht="13.5" customHeight="1">
      <c r="B247" s="64"/>
      <c r="D247" s="64"/>
    </row>
    <row r="248" spans="2:4" ht="13.5" customHeight="1">
      <c r="B248" s="64"/>
      <c r="D248" s="64"/>
    </row>
    <row r="249" spans="2:4" ht="13.5" customHeight="1">
      <c r="B249" s="64"/>
      <c r="D249" s="64"/>
    </row>
    <row r="250" spans="2:4" ht="13.5" customHeight="1">
      <c r="B250" s="64"/>
      <c r="D250" s="64"/>
    </row>
    <row r="251" spans="2:4" ht="13.5" customHeight="1">
      <c r="B251" s="64"/>
      <c r="D251" s="64"/>
    </row>
    <row r="252" spans="2:4" ht="13.5" customHeight="1">
      <c r="B252" s="64"/>
      <c r="D252" s="64"/>
    </row>
    <row r="253" spans="2:4" ht="13.5" customHeight="1">
      <c r="B253" s="64"/>
      <c r="D253" s="64"/>
    </row>
    <row r="254" spans="2:4" ht="13.5" customHeight="1">
      <c r="B254" s="64"/>
      <c r="D254" s="64"/>
    </row>
    <row r="255" spans="2:4" ht="13.5" customHeight="1">
      <c r="B255" s="64"/>
      <c r="D255" s="64"/>
    </row>
    <row r="256" spans="2:4" ht="13.5" customHeight="1">
      <c r="B256" s="64"/>
      <c r="D256" s="64"/>
    </row>
    <row r="257" spans="2:4" ht="13.5" customHeight="1">
      <c r="B257" s="64"/>
      <c r="D257" s="64"/>
    </row>
    <row r="258" spans="2:4" ht="13.5" customHeight="1">
      <c r="B258" s="64"/>
      <c r="D258" s="64"/>
    </row>
    <row r="259" spans="2:4" ht="13.5" customHeight="1">
      <c r="B259" s="64"/>
      <c r="D259" s="64"/>
    </row>
    <row r="260" spans="2:4" ht="13.5" customHeight="1">
      <c r="B260" s="64"/>
      <c r="D260" s="64"/>
    </row>
    <row r="261" spans="2:4" ht="13.5" customHeight="1">
      <c r="B261" s="64"/>
      <c r="D261" s="64"/>
    </row>
    <row r="262" spans="2:4" ht="13.5" customHeight="1">
      <c r="B262" s="64"/>
      <c r="D262" s="64"/>
    </row>
    <row r="263" spans="2:4" ht="13.5" customHeight="1">
      <c r="B263" s="64"/>
      <c r="D263" s="64"/>
    </row>
    <row r="264" spans="2:4" ht="13.5" customHeight="1">
      <c r="B264" s="64"/>
      <c r="D264" s="64"/>
    </row>
    <row r="265" spans="2:4" ht="13.5" customHeight="1">
      <c r="B265" s="64"/>
      <c r="D265" s="64"/>
    </row>
    <row r="266" spans="2:4" ht="13.5" customHeight="1">
      <c r="B266" s="64"/>
      <c r="D266" s="64"/>
    </row>
    <row r="267" spans="2:4" ht="13.5" customHeight="1">
      <c r="B267" s="64"/>
      <c r="D267" s="64"/>
    </row>
    <row r="268" spans="2:4" ht="13.5" customHeight="1">
      <c r="B268" s="64"/>
      <c r="D268" s="64"/>
    </row>
    <row r="269" spans="2:4" ht="13.5" customHeight="1">
      <c r="B269" s="64"/>
      <c r="D269" s="64"/>
    </row>
    <row r="270" spans="2:4" ht="13.5" customHeight="1">
      <c r="B270" s="64"/>
      <c r="D270" s="64"/>
    </row>
    <row r="271" spans="2:4" ht="13.5" customHeight="1">
      <c r="B271" s="64"/>
      <c r="D271" s="64"/>
    </row>
    <row r="272" spans="2:4" ht="13.5" customHeight="1">
      <c r="B272" s="64"/>
      <c r="D272" s="64"/>
    </row>
    <row r="273" spans="2:4" ht="13.5" customHeight="1">
      <c r="B273" s="64"/>
      <c r="D273" s="64"/>
    </row>
    <row r="274" spans="2:4" ht="13.5" customHeight="1">
      <c r="B274" s="64"/>
      <c r="D274" s="64"/>
    </row>
    <row r="275" spans="2:4" ht="13.5" customHeight="1">
      <c r="B275" s="64"/>
      <c r="D275" s="64"/>
    </row>
    <row r="276" spans="2:4" ht="13.5" customHeight="1">
      <c r="B276" s="64"/>
      <c r="D276" s="64"/>
    </row>
    <row r="277" spans="2:4" ht="13.5" customHeight="1">
      <c r="B277" s="64"/>
      <c r="D277" s="64"/>
    </row>
    <row r="278" spans="2:4" ht="13.5" customHeight="1">
      <c r="B278" s="64"/>
      <c r="D278" s="64"/>
    </row>
    <row r="279" spans="2:4" ht="13.5" customHeight="1">
      <c r="B279" s="64"/>
      <c r="D279" s="64"/>
    </row>
    <row r="280" spans="2:4" ht="13.5" customHeight="1">
      <c r="B280" s="64"/>
      <c r="D280" s="64"/>
    </row>
    <row r="281" spans="2:4" ht="13.5" customHeight="1">
      <c r="B281" s="64"/>
      <c r="D281" s="64"/>
    </row>
    <row r="282" spans="2:4" ht="13.5" customHeight="1">
      <c r="B282" s="64"/>
      <c r="D282" s="64"/>
    </row>
    <row r="283" spans="2:4" ht="13.5" customHeight="1">
      <c r="B283" s="64"/>
      <c r="D283" s="64"/>
    </row>
    <row r="284" spans="2:4" ht="13.5" customHeight="1">
      <c r="B284" s="64"/>
      <c r="D284" s="64"/>
    </row>
    <row r="285" spans="2:4" ht="13.5" customHeight="1">
      <c r="B285" s="64"/>
      <c r="D285" s="64"/>
    </row>
    <row r="286" spans="2:4" ht="13.5" customHeight="1">
      <c r="B286" s="64"/>
      <c r="D286" s="64"/>
    </row>
    <row r="287" spans="2:4" ht="13.5" customHeight="1">
      <c r="B287" s="64"/>
      <c r="D287" s="64"/>
    </row>
    <row r="288" spans="2:4" ht="13.5" customHeight="1">
      <c r="B288" s="64"/>
      <c r="D288" s="64"/>
    </row>
    <row r="289" spans="2:4" ht="13.5" customHeight="1">
      <c r="B289" s="64"/>
      <c r="D289" s="64"/>
    </row>
    <row r="290" spans="2:4" ht="13.5" customHeight="1">
      <c r="B290" s="64"/>
      <c r="D290" s="64"/>
    </row>
    <row r="291" spans="2:4" ht="13.5" customHeight="1">
      <c r="B291" s="64"/>
      <c r="D291" s="64"/>
    </row>
    <row r="292" spans="2:4" ht="13.5" customHeight="1">
      <c r="B292" s="64"/>
      <c r="D292" s="64"/>
    </row>
    <row r="293" spans="2:4" ht="13.5" customHeight="1">
      <c r="B293" s="64"/>
      <c r="D293" s="64"/>
    </row>
    <row r="294" spans="2:4" ht="13.5" customHeight="1">
      <c r="B294" s="64"/>
      <c r="D294" s="64"/>
    </row>
    <row r="295" spans="2:4" ht="13.5" customHeight="1">
      <c r="B295" s="64"/>
      <c r="D295" s="64"/>
    </row>
    <row r="296" spans="2:4" ht="13.5" customHeight="1">
      <c r="B296" s="64"/>
      <c r="D296" s="64"/>
    </row>
    <row r="297" spans="2:4" ht="13.5" customHeight="1">
      <c r="B297" s="64"/>
      <c r="D297" s="64"/>
    </row>
    <row r="298" spans="2:4" ht="13.5" customHeight="1">
      <c r="B298" s="64"/>
      <c r="D298" s="64"/>
    </row>
    <row r="299" spans="2:4" ht="13.5" customHeight="1">
      <c r="B299" s="64"/>
      <c r="D299" s="64"/>
    </row>
    <row r="300" spans="2:4" ht="13.5" customHeight="1">
      <c r="B300" s="64"/>
      <c r="D300" s="64"/>
    </row>
    <row r="301" spans="2:4" ht="13.5" customHeight="1">
      <c r="B301" s="64"/>
      <c r="D301" s="64"/>
    </row>
    <row r="302" spans="2:4" ht="13.5" customHeight="1">
      <c r="B302" s="64"/>
      <c r="D302" s="64"/>
    </row>
    <row r="303" spans="2:4" ht="13.5" customHeight="1">
      <c r="B303" s="64"/>
      <c r="D303" s="64"/>
    </row>
    <row r="304" spans="2:4" ht="13.5" customHeight="1">
      <c r="B304" s="64"/>
      <c r="D304" s="64"/>
    </row>
    <row r="305" spans="2:4" ht="13.5" customHeight="1">
      <c r="B305" s="64"/>
      <c r="D305" s="64"/>
    </row>
    <row r="306" spans="2:4" ht="13.5" customHeight="1">
      <c r="B306" s="64"/>
      <c r="D306" s="64"/>
    </row>
    <row r="307" spans="2:4" ht="13.5" customHeight="1">
      <c r="B307" s="64"/>
      <c r="D307" s="64"/>
    </row>
    <row r="308" spans="2:4" ht="13.5" customHeight="1">
      <c r="B308" s="64"/>
      <c r="D308" s="64"/>
    </row>
    <row r="309" spans="2:4" ht="13.5" customHeight="1">
      <c r="B309" s="64"/>
      <c r="D309" s="64"/>
    </row>
    <row r="310" spans="2:4" ht="13.5" customHeight="1">
      <c r="B310" s="64"/>
      <c r="D310" s="64"/>
    </row>
    <row r="311" spans="2:4" ht="13.5" customHeight="1">
      <c r="B311" s="64"/>
      <c r="D311" s="64"/>
    </row>
    <row r="312" spans="2:4" ht="13.5" customHeight="1">
      <c r="B312" s="64"/>
      <c r="D312" s="64"/>
    </row>
    <row r="313" spans="2:4" ht="13.5" customHeight="1">
      <c r="B313" s="64"/>
      <c r="D313" s="64"/>
    </row>
    <row r="314" spans="2:4" ht="13.5" customHeight="1">
      <c r="B314" s="64"/>
      <c r="D314" s="64"/>
    </row>
    <row r="315" spans="2:4" ht="13.5" customHeight="1">
      <c r="B315" s="64"/>
      <c r="D315" s="64"/>
    </row>
    <row r="316" spans="2:4" ht="13.5" customHeight="1">
      <c r="B316" s="64"/>
      <c r="D316" s="64"/>
    </row>
    <row r="317" spans="2:4" ht="13.5" customHeight="1">
      <c r="B317" s="64"/>
      <c r="D317" s="64"/>
    </row>
    <row r="318" spans="2:4" ht="13.5" customHeight="1">
      <c r="B318" s="64"/>
      <c r="D318" s="64"/>
    </row>
    <row r="319" spans="2:4" ht="13.5" customHeight="1">
      <c r="B319" s="64"/>
      <c r="D319" s="64"/>
    </row>
    <row r="320" spans="2:4" ht="13.5" customHeight="1">
      <c r="B320" s="64"/>
      <c r="D320" s="64"/>
    </row>
    <row r="321" spans="2:4" ht="13.5" customHeight="1">
      <c r="B321" s="64"/>
      <c r="D321" s="64"/>
    </row>
    <row r="322" spans="2:4" ht="13.5" customHeight="1">
      <c r="B322" s="64"/>
      <c r="D322" s="64"/>
    </row>
    <row r="323" spans="2:4" ht="13.5" customHeight="1">
      <c r="B323" s="64"/>
      <c r="D323" s="64"/>
    </row>
    <row r="324" spans="2:4" ht="13.5" customHeight="1">
      <c r="B324" s="64"/>
      <c r="D324" s="64"/>
    </row>
    <row r="325" spans="2:4" ht="13.5" customHeight="1">
      <c r="B325" s="64"/>
      <c r="D325" s="64"/>
    </row>
    <row r="326" spans="2:4" ht="13.5" customHeight="1">
      <c r="B326" s="64"/>
      <c r="D326" s="64"/>
    </row>
    <row r="327" spans="2:4" ht="13.5" customHeight="1">
      <c r="B327" s="64"/>
      <c r="D327" s="64"/>
    </row>
    <row r="328" spans="2:4" ht="13.5" customHeight="1">
      <c r="B328" s="64"/>
      <c r="D328" s="64"/>
    </row>
    <row r="329" spans="2:4" ht="13.5" customHeight="1">
      <c r="B329" s="64"/>
      <c r="D329" s="64"/>
    </row>
    <row r="330" spans="2:4" ht="13.5" customHeight="1">
      <c r="B330" s="64"/>
      <c r="D330" s="64"/>
    </row>
    <row r="331" spans="2:4" ht="13.5" customHeight="1">
      <c r="B331" s="64"/>
      <c r="D331" s="64"/>
    </row>
    <row r="332" spans="2:4" ht="13.5" customHeight="1">
      <c r="B332" s="64"/>
      <c r="D332" s="64"/>
    </row>
    <row r="333" spans="2:4" ht="13.5" customHeight="1">
      <c r="B333" s="64"/>
      <c r="D333" s="64"/>
    </row>
    <row r="334" spans="2:4" ht="13.5" customHeight="1">
      <c r="B334" s="64"/>
      <c r="D334" s="64"/>
    </row>
    <row r="335" spans="2:4" ht="13.5" customHeight="1">
      <c r="B335" s="64"/>
      <c r="D335" s="64"/>
    </row>
    <row r="336" spans="2:4" ht="13.5" customHeight="1">
      <c r="B336" s="64"/>
      <c r="D336" s="64"/>
    </row>
    <row r="337" spans="2:4" ht="13.5" customHeight="1">
      <c r="B337" s="64"/>
      <c r="D337" s="64"/>
    </row>
    <row r="338" spans="2:4" ht="13.5" customHeight="1">
      <c r="B338" s="64"/>
      <c r="D338" s="64"/>
    </row>
    <row r="339" spans="2:4" ht="13.5" customHeight="1">
      <c r="B339" s="64"/>
      <c r="D339" s="64"/>
    </row>
    <row r="340" spans="2:4" ht="13.5" customHeight="1">
      <c r="B340" s="64"/>
      <c r="D340" s="64"/>
    </row>
    <row r="341" spans="2:4" ht="13.5" customHeight="1">
      <c r="B341" s="64"/>
      <c r="D341" s="64"/>
    </row>
    <row r="342" spans="2:4" ht="13.5" customHeight="1">
      <c r="B342" s="64"/>
      <c r="D342" s="64"/>
    </row>
    <row r="343" spans="2:4" ht="13.5" customHeight="1">
      <c r="B343" s="64"/>
      <c r="D343" s="64"/>
    </row>
    <row r="344" spans="2:4" ht="13.5" customHeight="1">
      <c r="B344" s="64"/>
      <c r="D344" s="64"/>
    </row>
    <row r="345" spans="2:4" ht="13.5" customHeight="1">
      <c r="B345" s="64"/>
      <c r="D345" s="64"/>
    </row>
    <row r="346" spans="2:4" ht="13.5" customHeight="1">
      <c r="B346" s="64"/>
      <c r="D346" s="64"/>
    </row>
    <row r="347" spans="2:4" ht="13.5" customHeight="1">
      <c r="B347" s="64"/>
      <c r="D347" s="64"/>
    </row>
    <row r="348" spans="2:4" ht="13.5" customHeight="1">
      <c r="B348" s="64"/>
      <c r="D348" s="64"/>
    </row>
    <row r="349" spans="2:4" ht="13.5" customHeight="1">
      <c r="B349" s="64"/>
      <c r="D349" s="64"/>
    </row>
    <row r="350" spans="2:4" ht="13.5" customHeight="1">
      <c r="B350" s="64"/>
      <c r="D350" s="64"/>
    </row>
    <row r="351" spans="2:4" ht="13.5" customHeight="1">
      <c r="B351" s="64"/>
      <c r="D351" s="64"/>
    </row>
    <row r="352" spans="2:4" ht="13.5" customHeight="1">
      <c r="B352" s="64"/>
      <c r="D352" s="64"/>
    </row>
    <row r="353" spans="2:4" ht="13.5" customHeight="1">
      <c r="B353" s="64"/>
      <c r="D353" s="64"/>
    </row>
    <row r="354" spans="2:4" ht="13.5" customHeight="1">
      <c r="B354" s="64"/>
      <c r="D354" s="64"/>
    </row>
    <row r="355" spans="2:4" ht="13.5" customHeight="1">
      <c r="B355" s="64"/>
      <c r="D355" s="64"/>
    </row>
    <row r="356" spans="2:4" ht="13.5" customHeight="1">
      <c r="B356" s="64"/>
      <c r="D356" s="64"/>
    </row>
    <row r="357" spans="2:4" ht="13.5" customHeight="1">
      <c r="B357" s="64"/>
      <c r="D357" s="64"/>
    </row>
    <row r="358" spans="2:4" ht="13.5" customHeight="1">
      <c r="B358" s="64"/>
      <c r="D358" s="64"/>
    </row>
    <row r="359" spans="2:4" ht="13.5" customHeight="1">
      <c r="B359" s="64"/>
      <c r="D359" s="64"/>
    </row>
    <row r="360" spans="2:4" ht="13.5" customHeight="1">
      <c r="B360" s="64"/>
      <c r="D360" s="64"/>
    </row>
    <row r="361" spans="2:4" ht="13.5" customHeight="1">
      <c r="B361" s="64"/>
      <c r="D361" s="64"/>
    </row>
    <row r="362" spans="2:4" ht="13.5" customHeight="1">
      <c r="B362" s="64"/>
      <c r="D362" s="64"/>
    </row>
    <row r="363" spans="2:4" ht="13.5" customHeight="1">
      <c r="B363" s="64"/>
      <c r="D363" s="64"/>
    </row>
    <row r="364" spans="2:4" ht="13.5" customHeight="1">
      <c r="B364" s="64"/>
      <c r="D364" s="64"/>
    </row>
    <row r="365" spans="2:4" ht="13.5" customHeight="1">
      <c r="B365" s="64"/>
      <c r="D365" s="64"/>
    </row>
    <row r="366" spans="2:4" ht="13.5" customHeight="1">
      <c r="B366" s="64"/>
      <c r="D366" s="64"/>
    </row>
    <row r="367" spans="2:4" ht="13.5" customHeight="1">
      <c r="B367" s="64"/>
      <c r="D367" s="64"/>
    </row>
    <row r="368" spans="2:4" ht="13.5" customHeight="1">
      <c r="B368" s="64"/>
      <c r="D368" s="64"/>
    </row>
    <row r="369" spans="2:4" ht="13.5" customHeight="1">
      <c r="B369" s="64"/>
      <c r="D369" s="64"/>
    </row>
    <row r="370" spans="2:4" ht="13.5" customHeight="1">
      <c r="B370" s="64"/>
      <c r="D370" s="64"/>
    </row>
    <row r="371" spans="2:4" ht="13.5" customHeight="1">
      <c r="B371" s="64"/>
      <c r="D371" s="64"/>
    </row>
    <row r="372" spans="2:4" ht="13.5" customHeight="1">
      <c r="B372" s="64"/>
      <c r="D372" s="64"/>
    </row>
    <row r="373" spans="2:4" ht="13.5" customHeight="1">
      <c r="B373" s="64"/>
      <c r="D373" s="64"/>
    </row>
    <row r="374" spans="2:4" ht="13.5" customHeight="1">
      <c r="B374" s="64"/>
      <c r="D374" s="64"/>
    </row>
    <row r="375" spans="2:4" ht="13.5" customHeight="1">
      <c r="B375" s="64"/>
      <c r="D375" s="64"/>
    </row>
    <row r="376" spans="2:4" ht="13.5" customHeight="1">
      <c r="B376" s="64"/>
      <c r="D376" s="64"/>
    </row>
    <row r="377" spans="2:4" ht="13.5" customHeight="1">
      <c r="B377" s="64"/>
      <c r="D377" s="64"/>
    </row>
    <row r="378" spans="2:4" ht="13.5" customHeight="1">
      <c r="B378" s="64"/>
      <c r="D378" s="64"/>
    </row>
    <row r="379" spans="2:4" ht="13.5" customHeight="1">
      <c r="B379" s="64"/>
      <c r="D379" s="64"/>
    </row>
    <row r="380" spans="2:4" ht="13.5" customHeight="1">
      <c r="B380" s="64"/>
      <c r="D380" s="64"/>
    </row>
    <row r="381" spans="2:4" ht="13.5" customHeight="1">
      <c r="B381" s="64"/>
      <c r="D381" s="64"/>
    </row>
    <row r="382" spans="2:4" ht="13.5" customHeight="1">
      <c r="B382" s="64"/>
      <c r="D382" s="64"/>
    </row>
    <row r="383" spans="2:4" ht="13.5" customHeight="1">
      <c r="B383" s="64"/>
      <c r="D383" s="64"/>
    </row>
    <row r="384" spans="2:4" ht="13.5" customHeight="1">
      <c r="B384" s="64"/>
      <c r="D384" s="64"/>
    </row>
    <row r="385" spans="2:4" ht="13.5" customHeight="1">
      <c r="B385" s="64"/>
      <c r="D385" s="64"/>
    </row>
    <row r="386" spans="2:4" ht="13.5" customHeight="1">
      <c r="B386" s="64"/>
      <c r="D386" s="64"/>
    </row>
    <row r="387" spans="2:4" ht="13.5" customHeight="1">
      <c r="B387" s="64"/>
      <c r="D387" s="64"/>
    </row>
    <row r="388" spans="2:4" ht="13.5" customHeight="1">
      <c r="B388" s="64"/>
      <c r="D388" s="64"/>
    </row>
    <row r="389" spans="2:4" ht="13.5" customHeight="1">
      <c r="B389" s="64"/>
      <c r="D389" s="64"/>
    </row>
    <row r="390" spans="2:4" ht="13.5" customHeight="1">
      <c r="B390" s="64"/>
      <c r="D390" s="64"/>
    </row>
    <row r="391" spans="2:4" ht="13.5" customHeight="1">
      <c r="B391" s="64"/>
      <c r="D391" s="64"/>
    </row>
    <row r="392" spans="2:4" ht="13.5" customHeight="1">
      <c r="B392" s="64"/>
      <c r="D392" s="64"/>
    </row>
    <row r="393" spans="2:4" ht="13.5" customHeight="1">
      <c r="B393" s="64"/>
      <c r="D393" s="64"/>
    </row>
    <row r="394" spans="2:4" ht="13.5" customHeight="1">
      <c r="B394" s="64"/>
      <c r="D394" s="64"/>
    </row>
    <row r="395" spans="2:4" ht="13.5" customHeight="1">
      <c r="B395" s="64"/>
      <c r="D395" s="64"/>
    </row>
    <row r="396" spans="2:4" ht="13.5" customHeight="1">
      <c r="B396" s="64"/>
      <c r="D396" s="64"/>
    </row>
    <row r="397" spans="2:4" ht="13.5" customHeight="1">
      <c r="B397" s="64"/>
      <c r="D397" s="64"/>
    </row>
    <row r="398" spans="2:4" ht="13.5" customHeight="1">
      <c r="B398" s="64"/>
      <c r="D398" s="64"/>
    </row>
    <row r="399" spans="2:4" ht="13.5" customHeight="1">
      <c r="B399" s="64"/>
      <c r="D399" s="64"/>
    </row>
    <row r="400" spans="2:4" ht="13.5" customHeight="1">
      <c r="B400" s="64"/>
      <c r="D400" s="64"/>
    </row>
    <row r="401" spans="2:4" ht="13.5" customHeight="1">
      <c r="B401" s="64"/>
      <c r="D401" s="64"/>
    </row>
    <row r="402" spans="2:4" ht="13.5" customHeight="1">
      <c r="B402" s="64"/>
      <c r="D402" s="64"/>
    </row>
    <row r="403" spans="2:4" ht="13.5" customHeight="1">
      <c r="B403" s="64"/>
      <c r="D403" s="64"/>
    </row>
    <row r="404" spans="2:4" ht="13.5" customHeight="1">
      <c r="B404" s="64"/>
      <c r="D404" s="64"/>
    </row>
    <row r="405" spans="2:4" ht="13.5" customHeight="1">
      <c r="B405" s="64"/>
      <c r="D405" s="64"/>
    </row>
    <row r="406" spans="2:4" ht="13.5" customHeight="1">
      <c r="B406" s="64"/>
      <c r="D406" s="64"/>
    </row>
    <row r="407" spans="2:4" ht="13.5" customHeight="1">
      <c r="B407" s="64"/>
      <c r="D407" s="64"/>
    </row>
    <row r="408" spans="2:4" ht="13.5" customHeight="1">
      <c r="B408" s="64"/>
      <c r="D408" s="64"/>
    </row>
    <row r="409" spans="2:4" ht="13.5" customHeight="1">
      <c r="B409" s="64"/>
      <c r="D409" s="64"/>
    </row>
    <row r="410" spans="2:4" ht="13.5" customHeight="1">
      <c r="B410" s="64"/>
      <c r="D410" s="64"/>
    </row>
    <row r="411" spans="2:4" ht="13.5" customHeight="1">
      <c r="B411" s="64"/>
      <c r="D411" s="64"/>
    </row>
    <row r="412" spans="2:4" ht="13.5" customHeight="1">
      <c r="B412" s="64"/>
      <c r="D412" s="64"/>
    </row>
    <row r="413" spans="2:4" ht="13.5" customHeight="1">
      <c r="B413" s="64"/>
      <c r="D413" s="64"/>
    </row>
    <row r="414" spans="2:4" ht="13.5" customHeight="1">
      <c r="B414" s="64"/>
      <c r="D414" s="64"/>
    </row>
    <row r="415" spans="2:4" ht="13.5" customHeight="1">
      <c r="B415" s="64"/>
      <c r="D415" s="64"/>
    </row>
    <row r="416" spans="2:4" ht="13.5" customHeight="1">
      <c r="B416" s="64"/>
      <c r="D416" s="64"/>
    </row>
    <row r="417" spans="2:4" ht="13.5" customHeight="1">
      <c r="B417" s="64"/>
      <c r="D417" s="64"/>
    </row>
    <row r="418" spans="2:4" ht="13.5" customHeight="1">
      <c r="B418" s="64"/>
      <c r="D418" s="64"/>
    </row>
    <row r="419" spans="2:4" ht="13.5" customHeight="1">
      <c r="B419" s="64"/>
      <c r="D419" s="64"/>
    </row>
    <row r="420" spans="2:4" ht="13.5" customHeight="1">
      <c r="B420" s="64"/>
      <c r="D420" s="64"/>
    </row>
    <row r="421" spans="2:4" ht="13.5" customHeight="1">
      <c r="B421" s="64"/>
      <c r="D421" s="64"/>
    </row>
    <row r="422" spans="2:4" ht="13.5" customHeight="1">
      <c r="B422" s="64"/>
      <c r="D422" s="64"/>
    </row>
    <row r="423" spans="2:4" ht="13.5" customHeight="1">
      <c r="B423" s="64"/>
      <c r="D423" s="64"/>
    </row>
    <row r="424" spans="2:4" ht="13.5" customHeight="1">
      <c r="B424" s="64"/>
      <c r="D424" s="64"/>
    </row>
    <row r="425" spans="2:4" ht="13.5" customHeight="1">
      <c r="B425" s="64"/>
      <c r="D425" s="64"/>
    </row>
    <row r="426" spans="2:4" ht="13.5" customHeight="1">
      <c r="B426" s="64"/>
      <c r="D426" s="64"/>
    </row>
    <row r="427" spans="2:4" ht="13.5" customHeight="1">
      <c r="B427" s="64"/>
      <c r="D427" s="64"/>
    </row>
    <row r="428" spans="2:4" ht="13.5" customHeight="1">
      <c r="B428" s="64"/>
      <c r="D428" s="64"/>
    </row>
    <row r="429" spans="2:4" ht="13.5" customHeight="1">
      <c r="B429" s="64"/>
      <c r="D429" s="64"/>
    </row>
    <row r="430" spans="2:4" ht="13.5" customHeight="1">
      <c r="B430" s="64"/>
      <c r="D430" s="64"/>
    </row>
    <row r="431" spans="2:4" ht="13.5" customHeight="1">
      <c r="B431" s="64"/>
      <c r="D431" s="64"/>
    </row>
    <row r="432" spans="2:4" ht="13.5" customHeight="1">
      <c r="B432" s="64"/>
      <c r="D432" s="64"/>
    </row>
    <row r="433" spans="2:4" ht="13.5" customHeight="1">
      <c r="B433" s="64"/>
      <c r="D433" s="64"/>
    </row>
    <row r="434" spans="2:4" ht="13.5" customHeight="1">
      <c r="B434" s="64"/>
      <c r="D434" s="64"/>
    </row>
    <row r="435" spans="2:4" ht="13.5" customHeight="1">
      <c r="B435" s="64"/>
      <c r="D435" s="64"/>
    </row>
    <row r="436" spans="2:4" ht="13.5" customHeight="1">
      <c r="B436" s="64"/>
      <c r="D436" s="64"/>
    </row>
    <row r="437" spans="2:4" ht="13.5" customHeight="1">
      <c r="B437" s="64"/>
      <c r="D437" s="64"/>
    </row>
    <row r="438" spans="2:4" ht="13.5" customHeight="1">
      <c r="B438" s="64"/>
      <c r="D438" s="64"/>
    </row>
    <row r="439" spans="2:4" ht="13.5" customHeight="1">
      <c r="B439" s="64"/>
      <c r="D439" s="64"/>
    </row>
    <row r="440" spans="2:4" ht="13.5" customHeight="1">
      <c r="B440" s="64"/>
      <c r="D440" s="64"/>
    </row>
    <row r="441" spans="2:4" ht="13.5" customHeight="1">
      <c r="B441" s="64"/>
      <c r="D441" s="64"/>
    </row>
    <row r="442" spans="2:4" ht="13.5" customHeight="1">
      <c r="B442" s="64"/>
      <c r="D442" s="64"/>
    </row>
    <row r="443" spans="2:4" ht="13.5" customHeight="1">
      <c r="B443" s="64"/>
      <c r="D443" s="64"/>
    </row>
    <row r="444" spans="2:4" ht="13.5" customHeight="1">
      <c r="B444" s="64"/>
      <c r="D444" s="64"/>
    </row>
    <row r="445" spans="2:4" ht="13.5" customHeight="1">
      <c r="B445" s="64"/>
      <c r="D445" s="64"/>
    </row>
    <row r="446" spans="2:4" ht="13.5" customHeight="1">
      <c r="B446" s="64"/>
      <c r="D446" s="64"/>
    </row>
    <row r="447" spans="2:4" ht="13.5" customHeight="1">
      <c r="B447" s="64"/>
      <c r="D447" s="64"/>
    </row>
    <row r="448" spans="2:4" ht="13.5" customHeight="1">
      <c r="B448" s="64"/>
      <c r="D448" s="64"/>
    </row>
    <row r="449" spans="2:4" ht="13.5" customHeight="1">
      <c r="B449" s="64"/>
      <c r="D449" s="64"/>
    </row>
    <row r="450" spans="2:4" ht="13.5" customHeight="1">
      <c r="B450" s="64"/>
      <c r="D450" s="64"/>
    </row>
    <row r="451" spans="2:4" ht="13.5" customHeight="1">
      <c r="B451" s="64"/>
      <c r="D451" s="64"/>
    </row>
    <row r="452" spans="2:4" ht="13.5" customHeight="1">
      <c r="B452" s="64"/>
      <c r="D452" s="64"/>
    </row>
    <row r="453" spans="2:4" ht="13.5" customHeight="1">
      <c r="B453" s="64"/>
      <c r="D453" s="64"/>
    </row>
    <row r="454" spans="2:4" ht="13.5" customHeight="1">
      <c r="B454" s="64"/>
      <c r="D454" s="64"/>
    </row>
    <row r="455" spans="2:4" ht="13.5" customHeight="1">
      <c r="B455" s="64"/>
      <c r="D455" s="64"/>
    </row>
    <row r="456" spans="2:4" ht="13.5" customHeight="1">
      <c r="B456" s="64"/>
      <c r="D456" s="64"/>
    </row>
    <row r="457" spans="2:4" ht="13.5" customHeight="1">
      <c r="B457" s="64"/>
      <c r="D457" s="64"/>
    </row>
    <row r="458" spans="2:4" ht="13.5" customHeight="1">
      <c r="B458" s="64"/>
      <c r="D458" s="64"/>
    </row>
    <row r="459" spans="2:4" ht="13.5" customHeight="1">
      <c r="B459" s="64"/>
      <c r="D459" s="64"/>
    </row>
    <row r="460" spans="2:4" ht="13.5" customHeight="1">
      <c r="B460" s="64"/>
      <c r="D460" s="64"/>
    </row>
    <row r="461" spans="2:4" ht="13.5" customHeight="1">
      <c r="B461" s="64"/>
      <c r="D461" s="64"/>
    </row>
    <row r="462" spans="2:4" ht="13.5" customHeight="1">
      <c r="B462" s="64"/>
      <c r="D462" s="64"/>
    </row>
    <row r="463" spans="2:4" ht="13.5" customHeight="1">
      <c r="B463" s="64"/>
      <c r="D463" s="64"/>
    </row>
    <row r="464" spans="2:4" ht="13.5" customHeight="1">
      <c r="B464" s="64"/>
      <c r="D464" s="64"/>
    </row>
    <row r="465" spans="2:4" ht="13.5" customHeight="1">
      <c r="B465" s="64"/>
      <c r="D465" s="64"/>
    </row>
    <row r="466" spans="2:4" ht="13.5" customHeight="1">
      <c r="B466" s="64"/>
      <c r="D466" s="64"/>
    </row>
    <row r="467" spans="2:4" ht="13.5" customHeight="1">
      <c r="B467" s="64"/>
      <c r="D467" s="64"/>
    </row>
    <row r="468" spans="2:4" ht="13.5" customHeight="1">
      <c r="B468" s="64"/>
      <c r="D468" s="64"/>
    </row>
    <row r="469" spans="2:4" ht="13.5" customHeight="1">
      <c r="B469" s="64"/>
      <c r="D469" s="64"/>
    </row>
    <row r="470" spans="2:4" ht="13.5" customHeight="1">
      <c r="B470" s="64"/>
      <c r="D470" s="64"/>
    </row>
    <row r="471" spans="2:4" ht="13.5" customHeight="1">
      <c r="B471" s="64"/>
      <c r="D471" s="64"/>
    </row>
    <row r="472" spans="2:4" ht="13.5" customHeight="1">
      <c r="B472" s="64"/>
      <c r="D472" s="64"/>
    </row>
    <row r="473" spans="2:4" ht="13.5" customHeight="1">
      <c r="B473" s="64"/>
      <c r="D473" s="64"/>
    </row>
    <row r="474" spans="2:4" ht="13.5" customHeight="1">
      <c r="B474" s="64"/>
      <c r="D474" s="64"/>
    </row>
    <row r="475" spans="2:4" ht="13.5" customHeight="1">
      <c r="B475" s="64"/>
      <c r="D475" s="64"/>
    </row>
    <row r="476" spans="2:4" ht="13.5" customHeight="1">
      <c r="B476" s="64"/>
      <c r="D476" s="64"/>
    </row>
    <row r="477" spans="2:4" ht="13.5" customHeight="1">
      <c r="B477" s="64"/>
      <c r="D477" s="64"/>
    </row>
    <row r="478" spans="2:4" ht="13.5" customHeight="1">
      <c r="B478" s="64"/>
      <c r="D478" s="64"/>
    </row>
    <row r="479" spans="2:4" ht="13.5" customHeight="1">
      <c r="B479" s="64"/>
      <c r="D479" s="64"/>
    </row>
    <row r="480" spans="2:4" ht="13.5" customHeight="1">
      <c r="B480" s="64"/>
      <c r="D480" s="64"/>
    </row>
    <row r="481" spans="2:4" ht="13.5" customHeight="1">
      <c r="B481" s="64"/>
      <c r="D481" s="64"/>
    </row>
    <row r="482" spans="2:4" ht="13.5" customHeight="1">
      <c r="B482" s="64"/>
      <c r="D482" s="64"/>
    </row>
    <row r="483" spans="2:4" ht="13.5" customHeight="1">
      <c r="B483" s="64"/>
      <c r="D483" s="64"/>
    </row>
    <row r="484" spans="2:4" ht="13.5" customHeight="1">
      <c r="B484" s="64"/>
      <c r="D484" s="64"/>
    </row>
    <row r="485" spans="2:4" ht="13.5" customHeight="1">
      <c r="B485" s="64"/>
      <c r="D485" s="64"/>
    </row>
    <row r="486" spans="2:4" ht="13.5" customHeight="1">
      <c r="B486" s="64"/>
      <c r="D486" s="64"/>
    </row>
    <row r="487" spans="2:4" ht="13.5" customHeight="1">
      <c r="B487" s="64"/>
      <c r="D487" s="64"/>
    </row>
    <row r="488" spans="2:4" ht="13.5" customHeight="1">
      <c r="B488" s="64"/>
      <c r="D488" s="64"/>
    </row>
    <row r="489" spans="2:4" ht="13.5" customHeight="1">
      <c r="B489" s="64"/>
      <c r="D489" s="64"/>
    </row>
    <row r="490" spans="2:4" ht="13.5" customHeight="1">
      <c r="B490" s="64"/>
      <c r="D490" s="64"/>
    </row>
    <row r="491" spans="2:4" ht="13.5" customHeight="1">
      <c r="B491" s="64"/>
      <c r="D491" s="64"/>
    </row>
    <row r="492" spans="2:4" ht="13.5" customHeight="1">
      <c r="B492" s="64"/>
      <c r="D492" s="64"/>
    </row>
    <row r="493" spans="2:4" ht="13.5" customHeight="1">
      <c r="B493" s="64"/>
      <c r="D493" s="64"/>
    </row>
    <row r="494" spans="2:4" ht="13.5" customHeight="1">
      <c r="B494" s="64"/>
      <c r="D494" s="64"/>
    </row>
    <row r="495" spans="2:4" ht="13.5" customHeight="1">
      <c r="B495" s="64"/>
      <c r="D495" s="64"/>
    </row>
    <row r="496" spans="2:4" ht="13.5" customHeight="1">
      <c r="B496" s="64"/>
      <c r="D496" s="64"/>
    </row>
    <row r="497" spans="2:4" ht="13.5" customHeight="1">
      <c r="B497" s="64"/>
      <c r="D497" s="64"/>
    </row>
    <row r="498" spans="2:4" ht="13.5" customHeight="1">
      <c r="B498" s="64"/>
      <c r="D498" s="64"/>
    </row>
    <row r="499" spans="2:4" ht="13.5" customHeight="1">
      <c r="B499" s="64"/>
      <c r="D499" s="64"/>
    </row>
    <row r="500" spans="2:4" ht="13.5" customHeight="1">
      <c r="B500" s="64"/>
      <c r="D500" s="64"/>
    </row>
    <row r="501" spans="2:4" ht="13.5" customHeight="1">
      <c r="B501" s="64"/>
      <c r="D501" s="64"/>
    </row>
    <row r="502" spans="2:4" ht="13.5" customHeight="1">
      <c r="B502" s="64"/>
      <c r="D502" s="64"/>
    </row>
    <row r="503" spans="2:4" ht="13.5" customHeight="1">
      <c r="B503" s="64"/>
      <c r="D503" s="64"/>
    </row>
    <row r="504" spans="2:4" ht="13.5" customHeight="1">
      <c r="B504" s="64"/>
      <c r="D504" s="64"/>
    </row>
    <row r="505" spans="2:4" ht="13.5" customHeight="1">
      <c r="B505" s="64"/>
      <c r="D505" s="64"/>
    </row>
    <row r="506" spans="2:4" ht="13.5" customHeight="1">
      <c r="B506" s="64"/>
      <c r="D506" s="64"/>
    </row>
    <row r="507" spans="2:4" ht="13.5" customHeight="1">
      <c r="B507" s="64"/>
      <c r="D507" s="64"/>
    </row>
    <row r="508" spans="2:4" ht="13.5" customHeight="1">
      <c r="B508" s="64"/>
      <c r="D508" s="64"/>
    </row>
    <row r="509" spans="2:4" ht="13.5" customHeight="1">
      <c r="B509" s="64"/>
      <c r="D509" s="64"/>
    </row>
    <row r="510" spans="2:4" ht="13.5" customHeight="1">
      <c r="B510" s="64"/>
      <c r="D510" s="64"/>
    </row>
    <row r="511" spans="2:4" ht="13.5" customHeight="1">
      <c r="B511" s="64"/>
      <c r="D511" s="64"/>
    </row>
    <row r="512" spans="2:4" ht="13.5" customHeight="1">
      <c r="B512" s="64"/>
      <c r="D512" s="64"/>
    </row>
    <row r="513" spans="2:4" ht="13.5" customHeight="1">
      <c r="B513" s="64"/>
      <c r="D513" s="64"/>
    </row>
    <row r="514" spans="2:4" ht="13.5" customHeight="1">
      <c r="B514" s="64"/>
      <c r="D514" s="64"/>
    </row>
    <row r="515" spans="2:4" ht="13.5" customHeight="1">
      <c r="B515" s="64"/>
      <c r="D515" s="64"/>
    </row>
    <row r="516" spans="2:4" ht="13.5" customHeight="1">
      <c r="B516" s="64"/>
      <c r="D516" s="64"/>
    </row>
    <row r="517" spans="2:4" ht="13.5" customHeight="1">
      <c r="B517" s="64"/>
      <c r="D517" s="64"/>
    </row>
    <row r="518" spans="2:4" ht="13.5" customHeight="1">
      <c r="B518" s="64"/>
      <c r="D518" s="64"/>
    </row>
    <row r="519" spans="2:4" ht="13.5" customHeight="1">
      <c r="B519" s="64"/>
      <c r="D519" s="64"/>
    </row>
    <row r="520" spans="2:4" ht="13.5" customHeight="1">
      <c r="B520" s="64"/>
      <c r="D520" s="64"/>
    </row>
    <row r="521" spans="2:4" ht="13.5" customHeight="1">
      <c r="B521" s="64"/>
      <c r="D521" s="64"/>
    </row>
    <row r="522" spans="2:4" ht="13.5" customHeight="1">
      <c r="B522" s="64"/>
      <c r="D522" s="64"/>
    </row>
    <row r="523" spans="2:4" ht="13.5" customHeight="1">
      <c r="B523" s="64"/>
      <c r="D523" s="64"/>
    </row>
    <row r="524" spans="2:4" ht="13.5" customHeight="1">
      <c r="B524" s="64"/>
      <c r="D524" s="64"/>
    </row>
    <row r="525" spans="2:4" ht="13.5" customHeight="1">
      <c r="B525" s="64"/>
      <c r="D525" s="64"/>
    </row>
    <row r="526" spans="2:4" ht="13.5" customHeight="1">
      <c r="B526" s="64"/>
      <c r="D526" s="64"/>
    </row>
    <row r="527" spans="2:4" ht="13.5" customHeight="1">
      <c r="B527" s="64"/>
      <c r="D527" s="64"/>
    </row>
    <row r="528" spans="2:4" ht="13.5" customHeight="1">
      <c r="B528" s="64"/>
      <c r="D528" s="64"/>
    </row>
    <row r="529" spans="2:4" ht="13.5" customHeight="1">
      <c r="B529" s="64"/>
      <c r="D529" s="64"/>
    </row>
    <row r="530" spans="2:4" ht="13.5" customHeight="1">
      <c r="B530" s="64"/>
      <c r="D530" s="64"/>
    </row>
    <row r="531" spans="2:4" ht="13.5" customHeight="1">
      <c r="B531" s="64"/>
      <c r="D531" s="64"/>
    </row>
    <row r="532" spans="2:4" ht="13.5" customHeight="1">
      <c r="B532" s="64"/>
      <c r="D532" s="64"/>
    </row>
    <row r="533" spans="2:4" ht="13.5" customHeight="1">
      <c r="B533" s="64"/>
      <c r="D533" s="64"/>
    </row>
    <row r="534" spans="2:4" ht="13.5" customHeight="1">
      <c r="B534" s="64"/>
      <c r="D534" s="64"/>
    </row>
    <row r="535" spans="2:4" ht="13.5" customHeight="1">
      <c r="B535" s="64"/>
      <c r="D535" s="64"/>
    </row>
    <row r="536" spans="2:4" ht="13.5" customHeight="1">
      <c r="B536" s="64"/>
      <c r="D536" s="64"/>
    </row>
    <row r="537" spans="2:4" ht="13.5" customHeight="1">
      <c r="B537" s="64"/>
      <c r="D537" s="64"/>
    </row>
    <row r="538" spans="2:4" ht="13.5" customHeight="1">
      <c r="B538" s="64"/>
      <c r="D538" s="64"/>
    </row>
    <row r="539" spans="2:4" ht="13.5" customHeight="1">
      <c r="B539" s="64"/>
      <c r="D539" s="64"/>
    </row>
    <row r="540" spans="2:4" ht="13.5" customHeight="1">
      <c r="B540" s="64"/>
      <c r="D540" s="64"/>
    </row>
    <row r="541" spans="2:4" ht="13.5" customHeight="1">
      <c r="B541" s="64"/>
      <c r="D541" s="64"/>
    </row>
    <row r="542" spans="2:4" ht="13.5" customHeight="1">
      <c r="B542" s="64"/>
      <c r="D542" s="64"/>
    </row>
    <row r="543" spans="2:4" ht="13.5" customHeight="1">
      <c r="B543" s="64"/>
      <c r="D543" s="64"/>
    </row>
    <row r="544" spans="2:4" ht="13.5" customHeight="1">
      <c r="B544" s="64"/>
      <c r="D544" s="64"/>
    </row>
    <row r="545" spans="2:4" ht="13.5" customHeight="1">
      <c r="B545" s="64"/>
      <c r="D545" s="64"/>
    </row>
    <row r="546" spans="2:4" ht="13.5" customHeight="1">
      <c r="B546" s="64"/>
      <c r="D546" s="64"/>
    </row>
    <row r="547" spans="2:4" ht="13.5" customHeight="1">
      <c r="B547" s="64"/>
      <c r="D547" s="64"/>
    </row>
    <row r="548" spans="2:4" ht="13.5" customHeight="1">
      <c r="B548" s="64"/>
      <c r="D548" s="64"/>
    </row>
    <row r="549" spans="2:4" ht="13.5" customHeight="1">
      <c r="B549" s="64"/>
      <c r="D549" s="64"/>
    </row>
    <row r="550" spans="2:4" ht="13.5" customHeight="1">
      <c r="B550" s="64"/>
      <c r="D550" s="64"/>
    </row>
    <row r="551" spans="2:4" ht="13.5" customHeight="1">
      <c r="B551" s="64"/>
      <c r="D551" s="64"/>
    </row>
    <row r="552" spans="2:4" ht="13.5" customHeight="1">
      <c r="B552" s="64"/>
      <c r="D552" s="64"/>
    </row>
    <row r="553" spans="2:4" ht="13.5" customHeight="1">
      <c r="B553" s="64"/>
      <c r="D553" s="64"/>
    </row>
    <row r="554" spans="2:4" ht="13.5" customHeight="1">
      <c r="B554" s="64"/>
      <c r="D554" s="64"/>
    </row>
    <row r="555" spans="2:4" ht="13.5" customHeight="1">
      <c r="B555" s="64"/>
      <c r="D555" s="64"/>
    </row>
    <row r="556" spans="2:4" ht="13.5" customHeight="1">
      <c r="B556" s="64"/>
      <c r="D556" s="64"/>
    </row>
    <row r="557" spans="2:4" ht="13.5" customHeight="1">
      <c r="B557" s="64"/>
      <c r="D557" s="64"/>
    </row>
    <row r="558" spans="2:4" ht="13.5" customHeight="1">
      <c r="B558" s="64"/>
      <c r="D558" s="64"/>
    </row>
    <row r="559" spans="2:4" ht="13.5" customHeight="1">
      <c r="B559" s="64"/>
      <c r="D559" s="64"/>
    </row>
    <row r="560" spans="2:4" ht="13.5" customHeight="1">
      <c r="B560" s="64"/>
      <c r="D560" s="64"/>
    </row>
    <row r="561" spans="2:4" ht="13.5" customHeight="1">
      <c r="B561" s="64"/>
      <c r="D561" s="64"/>
    </row>
    <row r="562" spans="2:4" ht="13.5" customHeight="1">
      <c r="B562" s="64"/>
      <c r="D562" s="64"/>
    </row>
    <row r="563" spans="2:4" ht="13.5" customHeight="1">
      <c r="B563" s="64"/>
      <c r="D563" s="64"/>
    </row>
    <row r="564" spans="2:4" ht="13.5" customHeight="1">
      <c r="B564" s="64"/>
      <c r="D564" s="64"/>
    </row>
    <row r="565" spans="2:4" ht="13.5" customHeight="1">
      <c r="B565" s="64"/>
      <c r="D565" s="64"/>
    </row>
    <row r="566" spans="2:4" ht="13.5" customHeight="1">
      <c r="B566" s="64"/>
      <c r="D566" s="64"/>
    </row>
    <row r="567" spans="2:4" ht="13.5" customHeight="1">
      <c r="B567" s="64"/>
      <c r="D567" s="64"/>
    </row>
    <row r="568" spans="2:4" ht="13.5" customHeight="1">
      <c r="B568" s="64"/>
      <c r="D568" s="64"/>
    </row>
    <row r="569" spans="2:4" ht="13.5" customHeight="1">
      <c r="B569" s="64"/>
      <c r="D569" s="64"/>
    </row>
    <row r="570" spans="2:4" ht="13.5" customHeight="1">
      <c r="B570" s="64"/>
      <c r="D570" s="64"/>
    </row>
    <row r="571" spans="2:4" ht="13.5" customHeight="1">
      <c r="B571" s="64"/>
      <c r="D571" s="64"/>
    </row>
    <row r="572" spans="2:4" ht="13.5" customHeight="1">
      <c r="B572" s="64"/>
      <c r="D572" s="64"/>
    </row>
    <row r="573" spans="2:4" ht="13.5" customHeight="1">
      <c r="B573" s="64"/>
      <c r="D573" s="64"/>
    </row>
    <row r="574" spans="2:4" ht="13.5" customHeight="1">
      <c r="B574" s="64"/>
      <c r="D574" s="64"/>
    </row>
    <row r="575" spans="2:4" ht="13.5" customHeight="1">
      <c r="B575" s="64"/>
      <c r="D575" s="64"/>
    </row>
    <row r="576" spans="2:4" ht="13.5" customHeight="1">
      <c r="B576" s="64"/>
      <c r="D576" s="64"/>
    </row>
    <row r="577" spans="2:4" ht="13.5" customHeight="1">
      <c r="B577" s="64"/>
      <c r="D577" s="64"/>
    </row>
    <row r="578" spans="2:4" ht="13.5" customHeight="1">
      <c r="B578" s="64"/>
      <c r="D578" s="64"/>
    </row>
    <row r="579" spans="2:4" ht="13.5" customHeight="1">
      <c r="B579" s="64"/>
      <c r="D579" s="64"/>
    </row>
    <row r="580" spans="2:4" ht="13.5" customHeight="1">
      <c r="B580" s="64"/>
      <c r="D580" s="64"/>
    </row>
    <row r="581" spans="2:4" ht="13.5" customHeight="1">
      <c r="B581" s="64"/>
      <c r="D581" s="64"/>
    </row>
    <row r="582" spans="2:4" ht="13.5" customHeight="1">
      <c r="B582" s="64"/>
      <c r="D582" s="64"/>
    </row>
    <row r="583" spans="2:4" ht="13.5" customHeight="1">
      <c r="B583" s="64"/>
      <c r="D583" s="64"/>
    </row>
    <row r="584" spans="2:4" ht="13.5" customHeight="1">
      <c r="B584" s="64"/>
      <c r="D584" s="64"/>
    </row>
    <row r="585" spans="2:4" ht="13.5" customHeight="1">
      <c r="B585" s="64"/>
      <c r="D585" s="64"/>
    </row>
    <row r="586" spans="2:4" ht="13.5" customHeight="1">
      <c r="B586" s="64"/>
      <c r="D586" s="64"/>
    </row>
    <row r="587" spans="2:4" ht="13.5" customHeight="1">
      <c r="B587" s="64"/>
      <c r="D587" s="64"/>
    </row>
    <row r="588" spans="2:4" ht="13.5" customHeight="1">
      <c r="B588" s="64"/>
      <c r="D588" s="64"/>
    </row>
    <row r="589" spans="2:4" ht="13.5" customHeight="1">
      <c r="B589" s="64"/>
      <c r="D589" s="64"/>
    </row>
    <row r="590" spans="2:4" ht="13.5" customHeight="1">
      <c r="B590" s="64"/>
      <c r="D590" s="64"/>
    </row>
    <row r="591" spans="2:4" ht="13.5" customHeight="1">
      <c r="B591" s="64"/>
      <c r="D591" s="64"/>
    </row>
    <row r="592" spans="2:4" ht="13.5" customHeight="1">
      <c r="B592" s="64"/>
      <c r="D592" s="64"/>
    </row>
    <row r="593" spans="2:4" ht="13.5" customHeight="1">
      <c r="B593" s="64"/>
      <c r="D593" s="64"/>
    </row>
    <row r="594" spans="2:4" ht="13.5" customHeight="1">
      <c r="B594" s="64"/>
      <c r="D594" s="64"/>
    </row>
    <row r="595" spans="2:4" ht="13.5" customHeight="1">
      <c r="B595" s="64"/>
      <c r="D595" s="64"/>
    </row>
    <row r="596" spans="2:4" ht="13.5" customHeight="1">
      <c r="B596" s="64"/>
      <c r="D596" s="64"/>
    </row>
    <row r="597" spans="2:4" ht="13.5" customHeight="1">
      <c r="B597" s="64"/>
      <c r="D597" s="64"/>
    </row>
    <row r="598" spans="2:4" ht="13.5" customHeight="1">
      <c r="B598" s="64"/>
      <c r="D598" s="64"/>
    </row>
    <row r="599" spans="2:4" ht="13.5" customHeight="1">
      <c r="B599" s="64"/>
      <c r="D599" s="64"/>
    </row>
    <row r="600" spans="2:4" ht="13.5" customHeight="1">
      <c r="B600" s="64"/>
      <c r="D600" s="64"/>
    </row>
    <row r="601" spans="2:4" ht="13.5" customHeight="1">
      <c r="B601" s="64"/>
      <c r="D601" s="64"/>
    </row>
    <row r="602" spans="2:4" ht="13.5" customHeight="1">
      <c r="B602" s="64"/>
      <c r="D602" s="64"/>
    </row>
    <row r="603" spans="2:4" ht="13.5" customHeight="1">
      <c r="B603" s="64"/>
      <c r="D603" s="64"/>
    </row>
    <row r="604" spans="2:4" ht="13.5" customHeight="1">
      <c r="B604" s="64"/>
      <c r="D604" s="64"/>
    </row>
    <row r="605" spans="2:4" ht="13.5" customHeight="1">
      <c r="B605" s="64"/>
      <c r="D605" s="64"/>
    </row>
    <row r="606" spans="2:4" ht="13.5" customHeight="1">
      <c r="B606" s="64"/>
      <c r="D606" s="64"/>
    </row>
    <row r="607" spans="2:4" ht="13.5" customHeight="1">
      <c r="B607" s="64"/>
      <c r="D607" s="64"/>
    </row>
    <row r="608" spans="2:4" ht="13.5" customHeight="1">
      <c r="B608" s="64"/>
      <c r="D608" s="64"/>
    </row>
    <row r="609" spans="2:4" ht="13.5" customHeight="1">
      <c r="B609" s="64"/>
      <c r="D609" s="64"/>
    </row>
    <row r="610" spans="2:4" ht="13.5" customHeight="1">
      <c r="B610" s="64"/>
      <c r="D610" s="64"/>
    </row>
    <row r="611" spans="2:4" ht="13.5" customHeight="1">
      <c r="B611" s="64"/>
      <c r="D611" s="64"/>
    </row>
    <row r="612" spans="2:4" ht="13.5" customHeight="1">
      <c r="B612" s="64"/>
      <c r="D612" s="64"/>
    </row>
    <row r="613" spans="2:4" ht="13.5" customHeight="1">
      <c r="B613" s="64"/>
      <c r="D613" s="64"/>
    </row>
    <row r="614" spans="2:4" ht="13.5" customHeight="1">
      <c r="B614" s="64"/>
      <c r="D614" s="64"/>
    </row>
    <row r="615" spans="2:4" ht="13.5" customHeight="1">
      <c r="B615" s="64"/>
      <c r="D615" s="64"/>
    </row>
    <row r="616" spans="2:4" ht="13.5" customHeight="1">
      <c r="B616" s="64"/>
      <c r="D616" s="64"/>
    </row>
    <row r="617" spans="2:4" ht="13.5" customHeight="1">
      <c r="B617" s="64"/>
      <c r="D617" s="64"/>
    </row>
    <row r="618" spans="2:4" ht="13.5" customHeight="1">
      <c r="B618" s="64"/>
      <c r="D618" s="64"/>
    </row>
    <row r="619" spans="2:4" ht="13.5" customHeight="1">
      <c r="B619" s="64"/>
      <c r="D619" s="64"/>
    </row>
    <row r="620" spans="2:4" ht="13.5" customHeight="1">
      <c r="B620" s="64"/>
      <c r="D620" s="64"/>
    </row>
    <row r="621" spans="2:4" ht="13.5" customHeight="1">
      <c r="B621" s="64"/>
      <c r="D621" s="64"/>
    </row>
    <row r="622" spans="2:4" ht="13.5" customHeight="1">
      <c r="B622" s="64"/>
      <c r="D622" s="64"/>
    </row>
    <row r="623" spans="2:4" ht="13.5" customHeight="1">
      <c r="B623" s="64"/>
      <c r="D623" s="64"/>
    </row>
    <row r="624" spans="2:4" ht="13.5" customHeight="1">
      <c r="B624" s="64"/>
      <c r="D624" s="64"/>
    </row>
    <row r="625" spans="2:4" ht="13.5" customHeight="1">
      <c r="B625" s="64"/>
      <c r="D625" s="64"/>
    </row>
    <row r="626" spans="2:4" ht="13.5" customHeight="1">
      <c r="B626" s="64"/>
      <c r="D626" s="64"/>
    </row>
    <row r="627" spans="2:4" ht="13.5" customHeight="1">
      <c r="B627" s="64"/>
      <c r="D627" s="64"/>
    </row>
    <row r="628" spans="2:4" ht="13.5" customHeight="1">
      <c r="B628" s="64"/>
      <c r="D628" s="64"/>
    </row>
    <row r="629" spans="2:4" ht="13.5" customHeight="1">
      <c r="B629" s="64"/>
      <c r="D629" s="64"/>
    </row>
    <row r="630" spans="2:4" ht="13.5" customHeight="1">
      <c r="B630" s="64"/>
      <c r="D630" s="64"/>
    </row>
    <row r="631" spans="2:4" ht="13.5" customHeight="1">
      <c r="B631" s="64"/>
      <c r="D631" s="64"/>
    </row>
    <row r="632" spans="2:4" ht="13.5" customHeight="1">
      <c r="B632" s="64"/>
      <c r="D632" s="64"/>
    </row>
    <row r="633" spans="2:4" ht="13.5" customHeight="1">
      <c r="B633" s="64"/>
      <c r="D633" s="64"/>
    </row>
    <row r="634" spans="2:4" ht="13.5" customHeight="1">
      <c r="B634" s="64"/>
      <c r="D634" s="64"/>
    </row>
    <row r="635" spans="2:4" ht="13.5" customHeight="1">
      <c r="B635" s="64"/>
      <c r="D635" s="64"/>
    </row>
    <row r="636" spans="2:4" ht="13.5" customHeight="1">
      <c r="B636" s="64"/>
      <c r="D636" s="64"/>
    </row>
    <row r="637" spans="2:4" ht="13.5" customHeight="1">
      <c r="B637" s="64"/>
      <c r="D637" s="64"/>
    </row>
    <row r="638" spans="2:4" ht="13.5" customHeight="1">
      <c r="B638" s="64"/>
      <c r="D638" s="64"/>
    </row>
    <row r="639" spans="2:4" ht="13.5" customHeight="1">
      <c r="B639" s="64"/>
      <c r="D639" s="64"/>
    </row>
    <row r="640" spans="2:4" ht="13.5" customHeight="1">
      <c r="B640" s="64"/>
      <c r="D640" s="64"/>
    </row>
    <row r="641" spans="2:4" ht="13.5" customHeight="1">
      <c r="B641" s="64"/>
      <c r="D641" s="64"/>
    </row>
    <row r="642" spans="2:4" ht="13.5" customHeight="1">
      <c r="B642" s="64"/>
      <c r="D642" s="64"/>
    </row>
    <row r="643" spans="2:4" ht="13.5" customHeight="1">
      <c r="B643" s="64"/>
      <c r="D643" s="64"/>
    </row>
    <row r="644" spans="2:4" ht="13.5" customHeight="1">
      <c r="B644" s="64"/>
      <c r="D644" s="64"/>
    </row>
    <row r="645" spans="2:4" ht="13.5" customHeight="1">
      <c r="B645" s="64"/>
      <c r="D645" s="64"/>
    </row>
    <row r="646" spans="2:4" ht="13.5" customHeight="1">
      <c r="B646" s="64"/>
      <c r="D646" s="64"/>
    </row>
    <row r="647" spans="2:4" ht="13.5" customHeight="1">
      <c r="B647" s="64"/>
      <c r="D647" s="64"/>
    </row>
    <row r="648" spans="2:4" ht="13.5" customHeight="1">
      <c r="B648" s="64"/>
      <c r="D648" s="64"/>
    </row>
    <row r="649" spans="2:4" ht="13.5" customHeight="1">
      <c r="B649" s="64"/>
      <c r="D649" s="64"/>
    </row>
    <row r="650" spans="2:4" ht="13.5" customHeight="1">
      <c r="B650" s="64"/>
      <c r="D650" s="64"/>
    </row>
    <row r="651" spans="2:4" ht="13.5" customHeight="1">
      <c r="B651" s="64"/>
      <c r="D651" s="64"/>
    </row>
    <row r="652" spans="2:4" ht="13.5" customHeight="1">
      <c r="B652" s="64"/>
      <c r="D652" s="64"/>
    </row>
    <row r="653" spans="2:4" ht="13.5" customHeight="1">
      <c r="B653" s="64"/>
      <c r="D653" s="64"/>
    </row>
    <row r="654" spans="2:4" ht="13.5" customHeight="1">
      <c r="B654" s="64"/>
      <c r="D654" s="64"/>
    </row>
    <row r="655" spans="2:4" ht="13.5" customHeight="1">
      <c r="B655" s="64"/>
      <c r="D655" s="64"/>
    </row>
    <row r="656" spans="2:4" ht="13.5" customHeight="1">
      <c r="B656" s="64"/>
      <c r="D656" s="64"/>
    </row>
    <row r="657" spans="2:4" ht="13.5" customHeight="1">
      <c r="B657" s="64"/>
      <c r="D657" s="64"/>
    </row>
    <row r="658" spans="2:4" ht="13.5" customHeight="1">
      <c r="B658" s="64"/>
      <c r="D658" s="64"/>
    </row>
    <row r="659" spans="2:4" ht="13.5" customHeight="1">
      <c r="B659" s="64"/>
      <c r="D659" s="64"/>
    </row>
    <row r="660" spans="2:4" ht="13.5" customHeight="1">
      <c r="B660" s="64"/>
      <c r="D660" s="64"/>
    </row>
    <row r="661" spans="2:4" ht="13.5" customHeight="1">
      <c r="B661" s="64"/>
      <c r="D661" s="64"/>
    </row>
    <row r="662" spans="2:4" ht="13.5" customHeight="1">
      <c r="B662" s="64"/>
      <c r="D662" s="64"/>
    </row>
    <row r="663" spans="2:4" ht="13.5" customHeight="1">
      <c r="B663" s="64"/>
      <c r="D663" s="64"/>
    </row>
    <row r="664" spans="2:4" ht="13.5" customHeight="1">
      <c r="B664" s="64"/>
      <c r="D664" s="64"/>
    </row>
    <row r="665" spans="2:4" ht="13.5" customHeight="1">
      <c r="B665" s="64"/>
      <c r="D665" s="64"/>
    </row>
    <row r="666" spans="2:4" ht="13.5" customHeight="1">
      <c r="B666" s="64"/>
      <c r="D666" s="64"/>
    </row>
    <row r="667" spans="2:4" ht="13.5" customHeight="1">
      <c r="B667" s="64"/>
      <c r="D667" s="64"/>
    </row>
    <row r="668" spans="2:4" ht="13.5" customHeight="1">
      <c r="B668" s="64"/>
      <c r="D668" s="64"/>
    </row>
    <row r="669" spans="2:4" ht="13.5" customHeight="1">
      <c r="B669" s="64"/>
      <c r="D669" s="64"/>
    </row>
    <row r="670" spans="2:4" ht="13.5" customHeight="1">
      <c r="B670" s="64"/>
      <c r="D670" s="64"/>
    </row>
    <row r="671" spans="2:4" ht="13.5" customHeight="1">
      <c r="B671" s="64"/>
      <c r="D671" s="64"/>
    </row>
    <row r="672" spans="2:4" ht="13.5" customHeight="1">
      <c r="B672" s="64"/>
      <c r="D672" s="64"/>
    </row>
    <row r="673" spans="2:4" ht="13.5" customHeight="1">
      <c r="B673" s="64"/>
      <c r="D673" s="64"/>
    </row>
    <row r="674" spans="2:4" ht="13.5" customHeight="1">
      <c r="B674" s="64"/>
      <c r="D674" s="64"/>
    </row>
    <row r="675" spans="2:4" ht="13.5" customHeight="1">
      <c r="B675" s="64"/>
      <c r="D675" s="64"/>
    </row>
    <row r="676" spans="2:4" ht="13.5" customHeight="1">
      <c r="B676" s="64"/>
      <c r="D676" s="64"/>
    </row>
    <row r="677" spans="2:4" ht="13.5" customHeight="1">
      <c r="B677" s="64"/>
      <c r="D677" s="64"/>
    </row>
    <row r="678" spans="2:4" ht="13.5" customHeight="1">
      <c r="B678" s="64"/>
      <c r="D678" s="64"/>
    </row>
    <row r="679" spans="2:4" ht="13.5" customHeight="1">
      <c r="B679" s="64"/>
      <c r="D679" s="64"/>
    </row>
    <row r="680" spans="2:4" ht="13.5" customHeight="1">
      <c r="B680" s="64"/>
      <c r="D680" s="64"/>
    </row>
    <row r="681" spans="2:4" ht="13.5" customHeight="1">
      <c r="B681" s="64"/>
      <c r="D681" s="64"/>
    </row>
    <row r="682" spans="2:4" ht="13.5" customHeight="1">
      <c r="B682" s="64"/>
      <c r="D682" s="64"/>
    </row>
    <row r="683" spans="2:4" ht="13.5" customHeight="1">
      <c r="B683" s="64"/>
      <c r="D683" s="64"/>
    </row>
    <row r="684" spans="2:4" ht="13.5" customHeight="1">
      <c r="B684" s="64"/>
      <c r="D684" s="64"/>
    </row>
    <row r="685" spans="2:4" ht="13.5" customHeight="1">
      <c r="B685" s="64"/>
      <c r="D685" s="64"/>
    </row>
    <row r="686" spans="2:4" ht="13.5" customHeight="1">
      <c r="B686" s="64"/>
      <c r="D686" s="64"/>
    </row>
    <row r="687" spans="2:4" ht="13.5" customHeight="1">
      <c r="B687" s="64"/>
      <c r="D687" s="64"/>
    </row>
    <row r="688" spans="2:4" ht="13.5" customHeight="1">
      <c r="B688" s="64"/>
      <c r="D688" s="64"/>
    </row>
    <row r="689" spans="2:4" ht="13.5" customHeight="1">
      <c r="B689" s="64"/>
      <c r="D689" s="64"/>
    </row>
    <row r="690" spans="2:4" ht="13.5" customHeight="1">
      <c r="B690" s="64"/>
      <c r="D690" s="64"/>
    </row>
    <row r="691" spans="2:4" ht="13.5" customHeight="1">
      <c r="B691" s="64"/>
      <c r="D691" s="64"/>
    </row>
    <row r="692" spans="2:4" ht="13.5" customHeight="1">
      <c r="B692" s="64"/>
      <c r="D692" s="64"/>
    </row>
    <row r="693" spans="2:4" ht="13.5" customHeight="1">
      <c r="B693" s="64"/>
      <c r="D693" s="64"/>
    </row>
    <row r="694" spans="2:4" ht="13.5" customHeight="1">
      <c r="B694" s="64"/>
      <c r="D694" s="64"/>
    </row>
    <row r="695" spans="2:4" ht="13.5" customHeight="1">
      <c r="B695" s="64"/>
      <c r="D695" s="64"/>
    </row>
    <row r="696" spans="2:4" ht="13.5" customHeight="1">
      <c r="B696" s="64"/>
      <c r="D696" s="64"/>
    </row>
    <row r="697" spans="2:4" ht="13.5" customHeight="1">
      <c r="B697" s="64"/>
      <c r="D697" s="64"/>
    </row>
    <row r="698" spans="2:4" ht="13.5" customHeight="1">
      <c r="B698" s="64"/>
      <c r="D698" s="64"/>
    </row>
    <row r="699" spans="2:4" ht="13.5" customHeight="1">
      <c r="B699" s="64"/>
      <c r="D699" s="64"/>
    </row>
    <row r="700" spans="2:4" ht="13.5" customHeight="1">
      <c r="B700" s="64"/>
      <c r="D700" s="64"/>
    </row>
    <row r="701" spans="2:4" ht="13.5" customHeight="1">
      <c r="B701" s="64"/>
      <c r="D701" s="64"/>
    </row>
    <row r="702" spans="2:4" ht="13.5" customHeight="1">
      <c r="B702" s="64"/>
      <c r="D702" s="64"/>
    </row>
    <row r="703" spans="2:4" ht="13.5" customHeight="1">
      <c r="B703" s="64"/>
      <c r="D703" s="64"/>
    </row>
    <row r="704" spans="2:4" ht="13.5" customHeight="1">
      <c r="B704" s="64"/>
      <c r="D704" s="64"/>
    </row>
    <row r="705" spans="2:4" ht="13.5" customHeight="1">
      <c r="B705" s="64"/>
      <c r="D705" s="64"/>
    </row>
    <row r="706" spans="2:4" ht="13.5" customHeight="1">
      <c r="B706" s="64"/>
      <c r="D706" s="64"/>
    </row>
    <row r="707" spans="2:4" ht="13.5" customHeight="1">
      <c r="B707" s="64"/>
      <c r="D707" s="64"/>
    </row>
    <row r="708" spans="2:4" ht="13.5" customHeight="1">
      <c r="B708" s="64"/>
      <c r="D708" s="64"/>
    </row>
    <row r="709" spans="2:4" ht="13.5" customHeight="1">
      <c r="B709" s="64"/>
      <c r="D709" s="64"/>
    </row>
    <row r="710" spans="2:4" ht="13.5" customHeight="1">
      <c r="B710" s="64"/>
      <c r="D710" s="64"/>
    </row>
    <row r="711" spans="2:4" ht="13.5" customHeight="1">
      <c r="B711" s="64"/>
      <c r="D711" s="64"/>
    </row>
    <row r="712" spans="2:4" ht="13.5" customHeight="1">
      <c r="B712" s="64"/>
      <c r="D712" s="64"/>
    </row>
    <row r="713" spans="2:4" ht="13.5" customHeight="1">
      <c r="B713" s="64"/>
      <c r="D713" s="64"/>
    </row>
    <row r="714" spans="2:4" ht="13.5" customHeight="1">
      <c r="B714" s="64"/>
      <c r="D714" s="64"/>
    </row>
    <row r="715" spans="2:4" ht="13.5" customHeight="1">
      <c r="B715" s="64"/>
      <c r="D715" s="64"/>
    </row>
    <row r="716" spans="2:4" ht="13.5" customHeight="1">
      <c r="B716" s="64"/>
      <c r="D716" s="64"/>
    </row>
    <row r="717" spans="2:4" ht="13.5" customHeight="1">
      <c r="B717" s="64"/>
      <c r="D717" s="64"/>
    </row>
    <row r="718" spans="2:4" ht="13.5" customHeight="1">
      <c r="B718" s="64"/>
      <c r="D718" s="64"/>
    </row>
    <row r="719" spans="2:4" ht="13.5" customHeight="1">
      <c r="B719" s="64"/>
      <c r="D719" s="64"/>
    </row>
    <row r="720" spans="2:4" ht="13.5" customHeight="1">
      <c r="B720" s="64"/>
      <c r="D720" s="64"/>
    </row>
    <row r="721" spans="2:4" ht="13.5" customHeight="1">
      <c r="B721" s="64"/>
      <c r="D721" s="64"/>
    </row>
    <row r="722" spans="2:4" ht="13.5" customHeight="1">
      <c r="B722" s="64"/>
      <c r="D722" s="64"/>
    </row>
    <row r="723" spans="2:4" ht="13.5" customHeight="1">
      <c r="B723" s="64"/>
      <c r="D723" s="64"/>
    </row>
    <row r="724" spans="2:4" ht="13.5" customHeight="1">
      <c r="B724" s="64"/>
      <c r="D724" s="64"/>
    </row>
    <row r="725" spans="2:4" ht="13.5" customHeight="1">
      <c r="B725" s="64"/>
      <c r="D725" s="64"/>
    </row>
    <row r="726" spans="2:4" ht="13.5" customHeight="1">
      <c r="B726" s="64"/>
      <c r="D726" s="64"/>
    </row>
    <row r="727" spans="2:4" ht="13.5" customHeight="1">
      <c r="B727" s="64"/>
      <c r="D727" s="64"/>
    </row>
    <row r="728" spans="2:4" ht="13.5" customHeight="1">
      <c r="B728" s="64"/>
      <c r="D728" s="64"/>
    </row>
    <row r="729" spans="2:4" ht="13.5" customHeight="1">
      <c r="B729" s="64"/>
      <c r="D729" s="64"/>
    </row>
    <row r="730" spans="2:4" ht="13.5" customHeight="1">
      <c r="B730" s="64"/>
      <c r="D730" s="64"/>
    </row>
    <row r="731" spans="2:4" ht="13.5" customHeight="1">
      <c r="B731" s="64"/>
      <c r="D731" s="64"/>
    </row>
    <row r="732" spans="2:4" ht="13.5" customHeight="1">
      <c r="B732" s="64"/>
      <c r="D732" s="64"/>
    </row>
    <row r="733" spans="2:4" ht="13.5" customHeight="1">
      <c r="B733" s="64"/>
      <c r="D733" s="64"/>
    </row>
    <row r="734" spans="2:4" ht="13.5" customHeight="1">
      <c r="B734" s="64"/>
      <c r="D734" s="64"/>
    </row>
    <row r="735" spans="2:4" ht="13.5" customHeight="1">
      <c r="B735" s="64"/>
      <c r="D735" s="64"/>
    </row>
    <row r="736" spans="2:4" ht="13.5" customHeight="1">
      <c r="B736" s="64"/>
      <c r="D736" s="64"/>
    </row>
    <row r="737" spans="2:4" ht="13.5" customHeight="1">
      <c r="B737" s="64"/>
      <c r="D737" s="64"/>
    </row>
    <row r="738" spans="2:4" ht="13.5" customHeight="1">
      <c r="B738" s="64"/>
      <c r="D738" s="64"/>
    </row>
    <row r="739" spans="2:4" ht="13.5" customHeight="1">
      <c r="B739" s="64"/>
      <c r="D739" s="64"/>
    </row>
    <row r="740" spans="2:4" ht="13.5" customHeight="1">
      <c r="B740" s="64"/>
      <c r="D740" s="64"/>
    </row>
    <row r="741" spans="2:4" ht="13.5" customHeight="1">
      <c r="B741" s="64"/>
      <c r="D741" s="64"/>
    </row>
    <row r="742" spans="2:4" ht="13.5" customHeight="1">
      <c r="B742" s="64"/>
      <c r="D742" s="64"/>
    </row>
    <row r="743" spans="2:4" ht="13.5" customHeight="1">
      <c r="B743" s="64"/>
      <c r="D743" s="64"/>
    </row>
    <row r="744" spans="2:4" ht="13.5" customHeight="1">
      <c r="B744" s="64"/>
      <c r="D744" s="64"/>
    </row>
    <row r="745" spans="2:4" ht="13.5" customHeight="1">
      <c r="B745" s="64"/>
      <c r="D745" s="64"/>
    </row>
    <row r="746" spans="2:4" ht="13.5" customHeight="1">
      <c r="B746" s="64"/>
      <c r="D746" s="64"/>
    </row>
    <row r="747" spans="2:4" ht="13.5" customHeight="1">
      <c r="B747" s="64"/>
      <c r="D747" s="64"/>
    </row>
    <row r="748" spans="2:4" ht="13.5" customHeight="1">
      <c r="B748" s="64"/>
      <c r="D748" s="64"/>
    </row>
    <row r="749" spans="2:4" ht="13.5" customHeight="1">
      <c r="B749" s="64"/>
      <c r="D749" s="64"/>
    </row>
    <row r="750" spans="2:4" ht="13.5" customHeight="1">
      <c r="B750" s="64"/>
      <c r="D750" s="64"/>
    </row>
    <row r="751" spans="2:4" ht="13.5" customHeight="1">
      <c r="B751" s="64"/>
      <c r="D751" s="64"/>
    </row>
    <row r="752" spans="2:4" ht="13.5" customHeight="1">
      <c r="B752" s="64"/>
      <c r="D752" s="64"/>
    </row>
    <row r="753" spans="2:4" ht="13.5" customHeight="1">
      <c r="B753" s="64"/>
      <c r="D753" s="64"/>
    </row>
    <row r="754" spans="2:4" ht="13.5" customHeight="1">
      <c r="B754" s="64"/>
      <c r="D754" s="64"/>
    </row>
    <row r="755" spans="2:4" ht="13.5" customHeight="1">
      <c r="B755" s="64"/>
      <c r="D755" s="64"/>
    </row>
    <row r="756" spans="2:4" ht="13.5" customHeight="1">
      <c r="B756" s="64"/>
      <c r="D756" s="64"/>
    </row>
    <row r="757" spans="2:4" ht="13.5" customHeight="1">
      <c r="B757" s="64"/>
      <c r="D757" s="64"/>
    </row>
    <row r="758" spans="2:4" ht="13.5" customHeight="1">
      <c r="B758" s="64"/>
      <c r="D758" s="64"/>
    </row>
    <row r="759" spans="2:4" ht="13.5" customHeight="1">
      <c r="B759" s="64"/>
      <c r="D759" s="64"/>
    </row>
    <row r="760" spans="2:4" ht="13.5" customHeight="1">
      <c r="B760" s="64"/>
      <c r="D760" s="64"/>
    </row>
    <row r="761" spans="2:4" ht="13.5" customHeight="1">
      <c r="B761" s="64"/>
      <c r="D761" s="64"/>
    </row>
    <row r="762" spans="2:4" ht="13.5" customHeight="1">
      <c r="B762" s="64"/>
      <c r="D762" s="64"/>
    </row>
    <row r="763" spans="2:4" ht="13.5" customHeight="1">
      <c r="B763" s="64"/>
      <c r="D763" s="64"/>
    </row>
    <row r="764" spans="2:4" ht="13.5" customHeight="1">
      <c r="B764" s="64"/>
      <c r="D764" s="64"/>
    </row>
    <row r="765" spans="2:4" ht="13.5" customHeight="1">
      <c r="B765" s="64"/>
      <c r="D765" s="64"/>
    </row>
    <row r="766" spans="2:4" ht="13.5" customHeight="1">
      <c r="B766" s="64"/>
      <c r="D766" s="64"/>
    </row>
    <row r="767" spans="2:4" ht="13.5" customHeight="1">
      <c r="B767" s="64"/>
      <c r="D767" s="64"/>
    </row>
    <row r="768" spans="2:4" ht="13.5" customHeight="1">
      <c r="B768" s="64"/>
      <c r="D768" s="64"/>
    </row>
    <row r="769" spans="2:4" ht="13.5" customHeight="1">
      <c r="B769" s="64"/>
      <c r="D769" s="64"/>
    </row>
    <row r="770" spans="2:4" ht="13.5" customHeight="1">
      <c r="B770" s="64"/>
      <c r="D770" s="64"/>
    </row>
    <row r="771" spans="2:4" ht="13.5" customHeight="1">
      <c r="B771" s="64"/>
      <c r="D771" s="64"/>
    </row>
    <row r="772" spans="2:4" ht="13.5" customHeight="1">
      <c r="B772" s="64"/>
      <c r="D772" s="64"/>
    </row>
    <row r="773" spans="2:4" ht="13.5" customHeight="1">
      <c r="B773" s="64"/>
      <c r="D773" s="64"/>
    </row>
    <row r="774" spans="2:4" ht="13.5" customHeight="1">
      <c r="B774" s="64"/>
      <c r="D774" s="64"/>
    </row>
    <row r="775" spans="2:4" ht="13.5" customHeight="1">
      <c r="B775" s="64"/>
      <c r="D775" s="64"/>
    </row>
    <row r="776" spans="2:4" ht="13.5" customHeight="1">
      <c r="B776" s="64"/>
      <c r="D776" s="64"/>
    </row>
    <row r="777" spans="2:4" ht="13.5" customHeight="1">
      <c r="B777" s="64"/>
      <c r="D777" s="64"/>
    </row>
    <row r="778" spans="2:4" ht="13.5" customHeight="1">
      <c r="B778" s="64"/>
      <c r="D778" s="64"/>
    </row>
    <row r="779" spans="2:4" ht="13.5" customHeight="1">
      <c r="B779" s="64"/>
      <c r="D779" s="64"/>
    </row>
    <row r="780" spans="2:4" ht="13.5" customHeight="1">
      <c r="B780" s="64"/>
      <c r="D780" s="64"/>
    </row>
    <row r="781" spans="2:4" ht="13.5" customHeight="1">
      <c r="B781" s="64"/>
      <c r="D781" s="64"/>
    </row>
    <row r="782" spans="2:4" ht="13.5" customHeight="1">
      <c r="B782" s="64"/>
      <c r="D782" s="64"/>
    </row>
    <row r="783" spans="2:4" ht="13.5" customHeight="1">
      <c r="B783" s="64"/>
      <c r="D783" s="64"/>
    </row>
    <row r="784" spans="2:4" ht="13.5" customHeight="1">
      <c r="B784" s="64"/>
      <c r="D784" s="64"/>
    </row>
    <row r="785" spans="2:4" ht="13.5" customHeight="1">
      <c r="B785" s="64"/>
      <c r="D785" s="64"/>
    </row>
    <row r="786" spans="2:4" ht="13.5" customHeight="1">
      <c r="B786" s="64"/>
      <c r="D786" s="64"/>
    </row>
    <row r="787" spans="2:4" ht="13.5" customHeight="1">
      <c r="B787" s="64"/>
      <c r="D787" s="64"/>
    </row>
    <row r="788" spans="2:4" ht="13.5" customHeight="1">
      <c r="B788" s="64"/>
      <c r="D788" s="64"/>
    </row>
    <row r="789" spans="2:4" ht="13.5" customHeight="1">
      <c r="B789" s="64"/>
      <c r="D789" s="64"/>
    </row>
    <row r="790" spans="2:4" ht="13.5" customHeight="1">
      <c r="B790" s="64"/>
      <c r="D790" s="64"/>
    </row>
    <row r="791" spans="2:4" ht="13.5" customHeight="1">
      <c r="B791" s="64"/>
      <c r="D791" s="64"/>
    </row>
    <row r="792" spans="2:4" ht="13.5" customHeight="1">
      <c r="B792" s="64"/>
      <c r="D792" s="64"/>
    </row>
    <row r="793" spans="2:4" ht="13.5" customHeight="1">
      <c r="B793" s="64"/>
      <c r="D793" s="64"/>
    </row>
    <row r="794" spans="2:4" ht="13.5" customHeight="1">
      <c r="B794" s="64"/>
      <c r="D794" s="64"/>
    </row>
    <row r="795" spans="2:4" ht="13.5" customHeight="1">
      <c r="B795" s="64"/>
      <c r="D795" s="64"/>
    </row>
    <row r="796" spans="2:4" ht="13.5" customHeight="1">
      <c r="B796" s="64"/>
      <c r="D796" s="64"/>
    </row>
    <row r="797" spans="2:4" ht="13.5" customHeight="1">
      <c r="B797" s="64"/>
      <c r="D797" s="64"/>
    </row>
    <row r="798" spans="2:4" ht="13.5" customHeight="1">
      <c r="B798" s="64"/>
      <c r="D798" s="64"/>
    </row>
    <row r="799" spans="2:4" ht="13.5" customHeight="1">
      <c r="B799" s="64"/>
      <c r="D799" s="64"/>
    </row>
    <row r="800" spans="2:4" ht="13.5" customHeight="1">
      <c r="B800" s="64"/>
      <c r="D800" s="64"/>
    </row>
    <row r="801" spans="2:4" ht="13.5" customHeight="1">
      <c r="B801" s="64"/>
      <c r="D801" s="64"/>
    </row>
    <row r="802" spans="2:4" ht="13.5" customHeight="1">
      <c r="B802" s="64"/>
      <c r="D802" s="64"/>
    </row>
    <row r="803" spans="2:4" ht="13.5" customHeight="1">
      <c r="B803" s="64"/>
      <c r="D803" s="64"/>
    </row>
    <row r="804" spans="2:4" ht="13.5" customHeight="1">
      <c r="B804" s="64"/>
      <c r="D804" s="64"/>
    </row>
    <row r="805" spans="2:4" ht="13.5" customHeight="1">
      <c r="B805" s="64"/>
      <c r="D805" s="64"/>
    </row>
    <row r="806" spans="2:4" ht="13.5" customHeight="1">
      <c r="B806" s="64"/>
      <c r="D806" s="64"/>
    </row>
    <row r="807" spans="2:4" ht="13.5" customHeight="1">
      <c r="B807" s="64"/>
      <c r="D807" s="64"/>
    </row>
    <row r="808" spans="2:4" ht="13.5" customHeight="1">
      <c r="B808" s="64"/>
      <c r="D808" s="64"/>
    </row>
    <row r="809" spans="2:4" ht="13.5" customHeight="1">
      <c r="B809" s="64"/>
      <c r="D809" s="64"/>
    </row>
    <row r="810" spans="2:4" ht="13.5" customHeight="1">
      <c r="B810" s="64"/>
      <c r="D810" s="64"/>
    </row>
    <row r="811" spans="2:4" ht="13.5" customHeight="1">
      <c r="B811" s="64"/>
      <c r="D811" s="64"/>
    </row>
    <row r="812" spans="2:4" ht="13.5" customHeight="1">
      <c r="B812" s="64"/>
      <c r="D812" s="64"/>
    </row>
    <row r="813" spans="2:4" ht="13.5" customHeight="1">
      <c r="B813" s="64"/>
      <c r="D813" s="64"/>
    </row>
    <row r="814" spans="2:4" ht="13.5" customHeight="1">
      <c r="B814" s="64"/>
      <c r="D814" s="64"/>
    </row>
    <row r="815" spans="2:4" ht="13.5" customHeight="1">
      <c r="B815" s="64"/>
      <c r="D815" s="64"/>
    </row>
    <row r="816" spans="2:4" ht="13.5" customHeight="1">
      <c r="B816" s="64"/>
      <c r="D816" s="64"/>
    </row>
    <row r="817" spans="2:4" ht="13.5" customHeight="1">
      <c r="B817" s="64"/>
      <c r="D817" s="64"/>
    </row>
    <row r="818" spans="2:4" ht="13.5" customHeight="1">
      <c r="B818" s="64"/>
      <c r="D818" s="64"/>
    </row>
    <row r="819" spans="2:4" ht="13.5" customHeight="1">
      <c r="B819" s="64"/>
      <c r="D819" s="64"/>
    </row>
    <row r="820" spans="2:4" ht="13.5" customHeight="1">
      <c r="B820" s="64"/>
      <c r="D820" s="64"/>
    </row>
    <row r="821" spans="2:4" ht="13.5" customHeight="1">
      <c r="B821" s="64"/>
      <c r="D821" s="64"/>
    </row>
    <row r="822" spans="2:4" ht="13.5" customHeight="1">
      <c r="B822" s="64"/>
      <c r="D822" s="64"/>
    </row>
    <row r="823" spans="2:4" ht="13.5" customHeight="1">
      <c r="B823" s="64"/>
      <c r="D823" s="64"/>
    </row>
    <row r="824" spans="2:4" ht="13.5" customHeight="1">
      <c r="B824" s="64"/>
      <c r="D824" s="64"/>
    </row>
    <row r="825" spans="2:4" ht="13.5" customHeight="1">
      <c r="B825" s="64"/>
      <c r="D825" s="64"/>
    </row>
    <row r="826" spans="2:4" ht="13.5" customHeight="1">
      <c r="B826" s="64"/>
      <c r="D826" s="64"/>
    </row>
    <row r="827" spans="2:4" ht="13.5" customHeight="1">
      <c r="B827" s="64"/>
      <c r="D827" s="64"/>
    </row>
    <row r="828" spans="2:4" ht="13.5" customHeight="1">
      <c r="B828" s="64"/>
      <c r="D828" s="64"/>
    </row>
    <row r="829" spans="2:4" ht="13.5" customHeight="1">
      <c r="B829" s="64"/>
      <c r="D829" s="64"/>
    </row>
    <row r="830" spans="2:4" ht="13.5" customHeight="1">
      <c r="B830" s="64"/>
      <c r="D830" s="64"/>
    </row>
    <row r="831" spans="2:4" ht="13.5" customHeight="1">
      <c r="B831" s="64"/>
      <c r="D831" s="64"/>
    </row>
    <row r="832" spans="2:4" ht="13.5" customHeight="1">
      <c r="B832" s="64"/>
      <c r="D832" s="64"/>
    </row>
    <row r="833" spans="2:4" ht="13.5" customHeight="1">
      <c r="B833" s="64"/>
      <c r="D833" s="64"/>
    </row>
    <row r="834" spans="2:4" ht="13.5" customHeight="1">
      <c r="B834" s="64"/>
      <c r="D834" s="64"/>
    </row>
    <row r="835" spans="2:4" ht="13.5" customHeight="1">
      <c r="B835" s="64"/>
      <c r="D835" s="64"/>
    </row>
    <row r="836" spans="2:4" ht="13.5" customHeight="1">
      <c r="B836" s="64"/>
      <c r="D836" s="64"/>
    </row>
    <row r="837" spans="2:4" ht="13.5" customHeight="1">
      <c r="B837" s="64"/>
      <c r="D837" s="64"/>
    </row>
    <row r="838" spans="2:4" ht="13.5" customHeight="1">
      <c r="B838" s="64"/>
      <c r="D838" s="64"/>
    </row>
    <row r="839" spans="2:4" ht="13.5" customHeight="1">
      <c r="B839" s="64"/>
      <c r="D839" s="64"/>
    </row>
    <row r="840" spans="2:4" ht="13.5" customHeight="1">
      <c r="B840" s="64"/>
      <c r="D840" s="64"/>
    </row>
    <row r="841" spans="2:4" ht="13.5" customHeight="1">
      <c r="B841" s="64"/>
      <c r="D841" s="64"/>
    </row>
    <row r="842" spans="2:4" ht="13.5" customHeight="1">
      <c r="B842" s="64"/>
      <c r="D842" s="64"/>
    </row>
    <row r="843" spans="2:4" ht="13.5" customHeight="1">
      <c r="B843" s="64"/>
      <c r="D843" s="64"/>
    </row>
    <row r="844" spans="2:4" ht="13.5" customHeight="1">
      <c r="B844" s="64"/>
      <c r="D844" s="64"/>
    </row>
    <row r="845" spans="2:4" ht="13.5" customHeight="1">
      <c r="B845" s="64"/>
      <c r="D845" s="64"/>
    </row>
    <row r="846" spans="2:4" ht="13.5" customHeight="1">
      <c r="B846" s="64"/>
      <c r="D846" s="64"/>
    </row>
    <row r="847" spans="2:4" ht="13.5" customHeight="1">
      <c r="B847" s="64"/>
      <c r="D847" s="64"/>
    </row>
    <row r="848" spans="2:4" ht="13.5" customHeight="1">
      <c r="B848" s="64"/>
      <c r="D848" s="64"/>
    </row>
    <row r="849" spans="2:4" ht="13.5" customHeight="1">
      <c r="B849" s="64"/>
      <c r="D849" s="64"/>
    </row>
    <row r="850" spans="2:4" ht="13.5" customHeight="1">
      <c r="B850" s="64"/>
      <c r="D850" s="64"/>
    </row>
    <row r="851" spans="2:4" ht="13.5" customHeight="1">
      <c r="B851" s="64"/>
      <c r="D851" s="64"/>
    </row>
    <row r="852" spans="2:4" ht="13.5" customHeight="1">
      <c r="B852" s="64"/>
      <c r="D852" s="64"/>
    </row>
    <row r="853" spans="2:4" ht="13.5" customHeight="1">
      <c r="B853" s="64"/>
      <c r="D853" s="64"/>
    </row>
    <row r="854" spans="2:4" ht="13.5" customHeight="1">
      <c r="B854" s="64"/>
      <c r="D854" s="64"/>
    </row>
    <row r="855" spans="2:4" ht="13.5" customHeight="1">
      <c r="B855" s="64"/>
      <c r="D855" s="64"/>
    </row>
    <row r="856" spans="2:4" ht="13.5" customHeight="1">
      <c r="B856" s="64"/>
      <c r="D856" s="64"/>
    </row>
    <row r="857" spans="2:4" ht="13.5" customHeight="1">
      <c r="B857" s="64"/>
      <c r="D857" s="64"/>
    </row>
    <row r="858" spans="2:4" ht="13.5" customHeight="1">
      <c r="B858" s="64"/>
      <c r="D858" s="64"/>
    </row>
    <row r="859" spans="2:4" ht="13.5" customHeight="1">
      <c r="B859" s="64"/>
      <c r="D859" s="64"/>
    </row>
    <row r="860" spans="2:4" ht="13.5" customHeight="1">
      <c r="B860" s="64"/>
      <c r="D860" s="64"/>
    </row>
    <row r="861" spans="2:4" ht="13.5" customHeight="1">
      <c r="B861" s="64"/>
      <c r="D861" s="64"/>
    </row>
    <row r="862" spans="2:4" ht="13.5" customHeight="1">
      <c r="B862" s="64"/>
      <c r="D862" s="64"/>
    </row>
    <row r="863" spans="2:4" ht="13.5" customHeight="1">
      <c r="B863" s="64"/>
      <c r="D863" s="64"/>
    </row>
    <row r="864" spans="2:4" ht="13.5" customHeight="1">
      <c r="B864" s="64"/>
      <c r="D864" s="64"/>
    </row>
    <row r="865" spans="2:4" ht="13.5" customHeight="1">
      <c r="B865" s="64"/>
      <c r="D865" s="64"/>
    </row>
    <row r="866" spans="2:4" ht="13.5" customHeight="1">
      <c r="B866" s="64"/>
      <c r="D866" s="64"/>
    </row>
    <row r="867" spans="2:4" ht="13.5" customHeight="1">
      <c r="B867" s="64"/>
      <c r="D867" s="64"/>
    </row>
    <row r="868" spans="2:4" ht="13.5" customHeight="1">
      <c r="B868" s="64"/>
      <c r="D868" s="64"/>
    </row>
    <row r="869" spans="2:4" ht="13.5" customHeight="1">
      <c r="B869" s="64"/>
      <c r="D869" s="64"/>
    </row>
    <row r="870" spans="2:4" ht="13.5" customHeight="1">
      <c r="B870" s="64"/>
      <c r="D870" s="64"/>
    </row>
    <row r="871" spans="2:4" ht="13.5" customHeight="1">
      <c r="B871" s="64"/>
      <c r="D871" s="64"/>
    </row>
    <row r="872" spans="2:4" ht="13.5" customHeight="1">
      <c r="B872" s="64"/>
      <c r="D872" s="64"/>
    </row>
    <row r="873" spans="2:4" ht="13.5" customHeight="1">
      <c r="B873" s="64"/>
      <c r="D873" s="64"/>
    </row>
    <row r="874" spans="2:4" ht="13.5" customHeight="1">
      <c r="B874" s="64"/>
      <c r="D874" s="64"/>
    </row>
    <row r="875" spans="2:4" ht="13.5" customHeight="1">
      <c r="B875" s="64"/>
      <c r="D875" s="64"/>
    </row>
    <row r="876" spans="2:4" ht="13.5" customHeight="1">
      <c r="B876" s="64"/>
      <c r="D876" s="64"/>
    </row>
    <row r="877" spans="2:4" ht="13.5" customHeight="1">
      <c r="B877" s="64"/>
      <c r="D877" s="64"/>
    </row>
    <row r="878" spans="2:4" ht="13.5" customHeight="1">
      <c r="B878" s="64"/>
      <c r="D878" s="64"/>
    </row>
    <row r="879" spans="2:4" ht="13.5" customHeight="1">
      <c r="B879" s="64"/>
      <c r="D879" s="64"/>
    </row>
    <row r="880" spans="2:4" ht="13.5" customHeight="1">
      <c r="B880" s="64"/>
      <c r="D880" s="64"/>
    </row>
    <row r="881" spans="2:4" ht="13.5" customHeight="1">
      <c r="B881" s="64"/>
      <c r="D881" s="64"/>
    </row>
    <row r="882" spans="2:4" ht="13.5" customHeight="1">
      <c r="B882" s="64"/>
      <c r="D882" s="64"/>
    </row>
    <row r="883" spans="2:4" ht="13.5" customHeight="1">
      <c r="B883" s="64"/>
      <c r="D883" s="64"/>
    </row>
    <row r="884" spans="2:4" ht="13.5" customHeight="1">
      <c r="B884" s="64"/>
      <c r="D884" s="64"/>
    </row>
    <row r="885" spans="2:4" ht="13.5" customHeight="1">
      <c r="B885" s="64"/>
      <c r="D885" s="64"/>
    </row>
    <row r="886" spans="2:4" ht="13.5" customHeight="1">
      <c r="B886" s="64"/>
      <c r="D886" s="64"/>
    </row>
    <row r="887" spans="2:4" ht="13.5" customHeight="1">
      <c r="B887" s="64"/>
      <c r="D887" s="64"/>
    </row>
    <row r="888" spans="2:4" ht="13.5" customHeight="1">
      <c r="B888" s="64"/>
      <c r="D888" s="64"/>
    </row>
    <row r="889" spans="2:4" ht="13.5" customHeight="1">
      <c r="B889" s="64"/>
      <c r="D889" s="64"/>
    </row>
    <row r="890" spans="2:4" ht="13.5" customHeight="1">
      <c r="B890" s="64"/>
      <c r="D890" s="64"/>
    </row>
    <row r="891" spans="2:4" ht="13.5" customHeight="1">
      <c r="B891" s="64"/>
      <c r="D891" s="64"/>
    </row>
    <row r="892" spans="2:4" ht="13.5" customHeight="1">
      <c r="B892" s="64"/>
      <c r="D892" s="64"/>
    </row>
    <row r="893" spans="2:4" ht="13.5" customHeight="1">
      <c r="B893" s="64"/>
      <c r="D893" s="64"/>
    </row>
    <row r="894" spans="2:4" ht="13.5" customHeight="1">
      <c r="B894" s="64"/>
      <c r="D894" s="64"/>
    </row>
    <row r="895" spans="2:4" ht="13.5" customHeight="1">
      <c r="B895" s="64"/>
      <c r="D895" s="64"/>
    </row>
    <row r="896" spans="2:4" ht="13.5" customHeight="1">
      <c r="B896" s="64"/>
      <c r="D896" s="64"/>
    </row>
    <row r="897" spans="2:4" ht="13.5" customHeight="1">
      <c r="B897" s="64"/>
      <c r="D897" s="64"/>
    </row>
    <row r="898" spans="2:4" ht="13.5" customHeight="1">
      <c r="B898" s="64"/>
      <c r="D898" s="64"/>
    </row>
    <row r="899" spans="2:4" ht="13.5" customHeight="1">
      <c r="B899" s="64"/>
      <c r="D899" s="64"/>
    </row>
    <row r="900" spans="2:4" ht="13.5" customHeight="1">
      <c r="B900" s="64"/>
      <c r="D900" s="64"/>
    </row>
    <row r="901" spans="2:4" ht="13.5" customHeight="1">
      <c r="B901" s="64"/>
      <c r="D901" s="64"/>
    </row>
    <row r="902" spans="2:4" ht="13.5" customHeight="1">
      <c r="B902" s="64"/>
      <c r="D902" s="64"/>
    </row>
    <row r="903" spans="2:4" ht="13.5" customHeight="1">
      <c r="B903" s="64"/>
      <c r="D903" s="64"/>
    </row>
    <row r="904" spans="2:4" ht="13.5" customHeight="1">
      <c r="B904" s="64"/>
      <c r="D904" s="64"/>
    </row>
    <row r="905" spans="2:4" ht="13.5" customHeight="1">
      <c r="B905" s="64"/>
      <c r="D905" s="64"/>
    </row>
    <row r="906" spans="2:4" ht="13.5" customHeight="1">
      <c r="B906" s="64"/>
      <c r="D906" s="64"/>
    </row>
    <row r="907" spans="2:4" ht="13.5" customHeight="1">
      <c r="B907" s="64"/>
      <c r="D907" s="64"/>
    </row>
    <row r="908" spans="2:4" ht="13.5" customHeight="1">
      <c r="B908" s="64"/>
      <c r="D908" s="64"/>
    </row>
    <row r="909" spans="2:4" ht="13.5" customHeight="1">
      <c r="B909" s="64"/>
      <c r="D909" s="64"/>
    </row>
    <row r="910" spans="2:4" ht="13.5" customHeight="1">
      <c r="B910" s="64"/>
      <c r="D910" s="64"/>
    </row>
    <row r="911" spans="2:4" ht="13.5" customHeight="1">
      <c r="B911" s="64"/>
      <c r="D911" s="64"/>
    </row>
    <row r="912" spans="2:4" ht="13.5" customHeight="1">
      <c r="B912" s="64"/>
      <c r="D912" s="64"/>
    </row>
    <row r="913" spans="2:4" ht="13.5" customHeight="1">
      <c r="B913" s="64"/>
      <c r="D913" s="64"/>
    </row>
    <row r="914" spans="2:4" ht="13.5" customHeight="1">
      <c r="B914" s="64"/>
      <c r="D914" s="64"/>
    </row>
    <row r="915" spans="2:4" ht="13.5" customHeight="1">
      <c r="B915" s="64"/>
      <c r="D915" s="64"/>
    </row>
    <row r="916" spans="2:4" ht="13.5" customHeight="1">
      <c r="B916" s="64"/>
      <c r="D916" s="64"/>
    </row>
    <row r="917" spans="2:4" ht="13.5" customHeight="1">
      <c r="B917" s="64"/>
      <c r="D917" s="64"/>
    </row>
    <row r="918" spans="2:4" ht="13.5" customHeight="1">
      <c r="B918" s="64"/>
      <c r="D918" s="64"/>
    </row>
    <row r="919" spans="2:4" ht="13.5" customHeight="1">
      <c r="B919" s="64"/>
      <c r="D919" s="64"/>
    </row>
    <row r="920" spans="2:4" ht="13.5" customHeight="1">
      <c r="B920" s="64"/>
      <c r="D920" s="64"/>
    </row>
    <row r="921" spans="2:4" ht="13.5" customHeight="1">
      <c r="B921" s="64"/>
      <c r="D921" s="64"/>
    </row>
    <row r="922" spans="2:4" ht="13.5" customHeight="1">
      <c r="B922" s="64"/>
      <c r="D922" s="64"/>
    </row>
    <row r="923" spans="2:4" ht="13.5" customHeight="1">
      <c r="B923" s="64"/>
      <c r="D923" s="64"/>
    </row>
    <row r="924" spans="2:4" ht="13.5" customHeight="1">
      <c r="B924" s="64"/>
      <c r="D924" s="64"/>
    </row>
    <row r="925" spans="2:4" ht="13.5" customHeight="1">
      <c r="B925" s="64"/>
      <c r="D925" s="64"/>
    </row>
    <row r="926" spans="2:4" ht="13.5" customHeight="1">
      <c r="B926" s="64"/>
      <c r="D926" s="64"/>
    </row>
    <row r="927" spans="2:4" ht="13.5" customHeight="1">
      <c r="B927" s="64"/>
      <c r="D927" s="64"/>
    </row>
    <row r="928" spans="2:4" ht="13.5" customHeight="1">
      <c r="B928" s="64"/>
      <c r="D928" s="64"/>
    </row>
    <row r="929" spans="2:4" ht="13.5" customHeight="1">
      <c r="B929" s="64"/>
      <c r="D929" s="64"/>
    </row>
    <row r="930" spans="2:4" ht="13.5" customHeight="1">
      <c r="B930" s="64"/>
      <c r="D930" s="64"/>
    </row>
    <row r="931" spans="2:4" ht="13.5" customHeight="1">
      <c r="B931" s="64"/>
      <c r="D931" s="64"/>
    </row>
    <row r="932" spans="2:4" ht="13.5" customHeight="1">
      <c r="B932" s="64"/>
      <c r="D932" s="64"/>
    </row>
    <row r="933" spans="2:4" ht="13.5" customHeight="1">
      <c r="B933" s="64"/>
      <c r="D933" s="64"/>
    </row>
    <row r="934" spans="2:4" ht="13.5" customHeight="1">
      <c r="B934" s="64"/>
      <c r="D934" s="64"/>
    </row>
    <row r="935" spans="2:4" ht="13.5" customHeight="1">
      <c r="B935" s="64"/>
      <c r="D935" s="64"/>
    </row>
    <row r="936" spans="2:4" ht="13.5" customHeight="1">
      <c r="B936" s="64"/>
      <c r="D936" s="64"/>
    </row>
    <row r="937" spans="2:4" ht="13.5" customHeight="1">
      <c r="B937" s="64"/>
      <c r="D937" s="64"/>
    </row>
    <row r="938" spans="2:4" ht="13.5" customHeight="1">
      <c r="B938" s="64"/>
      <c r="D938" s="64"/>
    </row>
    <row r="939" spans="2:4" ht="13.5" customHeight="1">
      <c r="B939" s="64"/>
      <c r="D939" s="64"/>
    </row>
    <row r="940" spans="2:4" ht="13.5" customHeight="1">
      <c r="B940" s="64"/>
      <c r="D940" s="64"/>
    </row>
    <row r="941" spans="2:4" ht="13.5" customHeight="1">
      <c r="B941" s="64"/>
      <c r="D941" s="64"/>
    </row>
    <row r="942" spans="2:4" ht="13.5" customHeight="1">
      <c r="B942" s="64"/>
      <c r="D942" s="64"/>
    </row>
    <row r="943" spans="2:4" ht="13.5" customHeight="1">
      <c r="B943" s="64"/>
      <c r="D943" s="64"/>
    </row>
    <row r="944" spans="2:4" ht="13.5" customHeight="1">
      <c r="B944" s="64"/>
      <c r="D944" s="64"/>
    </row>
    <row r="945" spans="2:4" ht="13.5" customHeight="1">
      <c r="B945" s="64"/>
      <c r="D945" s="64"/>
    </row>
    <row r="946" spans="2:4" ht="13.5" customHeight="1">
      <c r="B946" s="64"/>
      <c r="D946" s="64"/>
    </row>
    <row r="947" spans="2:4" ht="13.5" customHeight="1">
      <c r="B947" s="64"/>
      <c r="D947" s="64"/>
    </row>
    <row r="948" spans="2:4" ht="13.5" customHeight="1">
      <c r="B948" s="64"/>
      <c r="D948" s="64"/>
    </row>
    <row r="949" spans="2:4" ht="13.5" customHeight="1">
      <c r="B949" s="64"/>
      <c r="D949" s="64"/>
    </row>
    <row r="950" spans="2:4" ht="13.5" customHeight="1">
      <c r="B950" s="64"/>
      <c r="D950" s="64"/>
    </row>
    <row r="951" spans="2:4" ht="13.5" customHeight="1">
      <c r="B951" s="64"/>
      <c r="D951" s="64"/>
    </row>
    <row r="952" spans="2:4" ht="13.5" customHeight="1">
      <c r="B952" s="64"/>
      <c r="D952" s="64"/>
    </row>
    <row r="953" spans="2:4" ht="13.5" customHeight="1">
      <c r="B953" s="64"/>
      <c r="D953" s="64"/>
    </row>
    <row r="954" spans="2:4" ht="13.5" customHeight="1">
      <c r="B954" s="64"/>
      <c r="D954" s="64"/>
    </row>
    <row r="955" spans="2:4" ht="13.5" customHeight="1">
      <c r="B955" s="64"/>
      <c r="D955" s="64"/>
    </row>
    <row r="956" spans="2:4" ht="13.5" customHeight="1">
      <c r="B956" s="64"/>
      <c r="D956" s="64"/>
    </row>
    <row r="957" spans="2:4" ht="13.5" customHeight="1">
      <c r="B957" s="64"/>
      <c r="D957" s="64"/>
    </row>
    <row r="958" spans="2:4" ht="13.5" customHeight="1">
      <c r="B958" s="64"/>
      <c r="D958" s="64"/>
    </row>
    <row r="959" spans="2:4" ht="13.5" customHeight="1">
      <c r="B959" s="64"/>
      <c r="D959" s="64"/>
    </row>
    <row r="960" spans="2:4" ht="13.5" customHeight="1">
      <c r="B960" s="64"/>
      <c r="D960" s="64"/>
    </row>
    <row r="961" spans="2:4" ht="13.5" customHeight="1">
      <c r="B961" s="64"/>
      <c r="D961" s="64"/>
    </row>
    <row r="962" spans="2:4" ht="13.5" customHeight="1">
      <c r="B962" s="64"/>
      <c r="D962" s="64"/>
    </row>
    <row r="963" spans="2:4" ht="13.5" customHeight="1">
      <c r="B963" s="64"/>
      <c r="D963" s="64"/>
    </row>
    <row r="964" spans="2:4" ht="13.5" customHeight="1">
      <c r="B964" s="64"/>
      <c r="D964" s="64"/>
    </row>
    <row r="965" spans="2:4" ht="13.5" customHeight="1">
      <c r="B965" s="64"/>
      <c r="D965" s="64"/>
    </row>
    <row r="966" spans="2:4" ht="13.5" customHeight="1">
      <c r="B966" s="64"/>
      <c r="D966" s="64"/>
    </row>
    <row r="967" spans="2:4" ht="13.5" customHeight="1">
      <c r="B967" s="64"/>
      <c r="D967" s="64"/>
    </row>
    <row r="968" spans="2:4" ht="13.5" customHeight="1">
      <c r="B968" s="64"/>
      <c r="D968" s="64"/>
    </row>
    <row r="969" spans="2:4" ht="13.5" customHeight="1">
      <c r="B969" s="64"/>
      <c r="D969" s="64"/>
    </row>
    <row r="970" spans="2:4" ht="13.5" customHeight="1">
      <c r="B970" s="64"/>
      <c r="D970" s="64"/>
    </row>
    <row r="971" spans="2:4" ht="13.5" customHeight="1">
      <c r="B971" s="64"/>
      <c r="D971" s="64"/>
    </row>
    <row r="972" spans="2:4" ht="13.5" customHeight="1">
      <c r="B972" s="64"/>
      <c r="D972" s="64"/>
    </row>
    <row r="973" spans="2:4" ht="13.5" customHeight="1">
      <c r="B973" s="64"/>
      <c r="D973" s="64"/>
    </row>
    <row r="974" spans="2:4" ht="13.5" customHeight="1">
      <c r="B974" s="64"/>
      <c r="D974" s="64"/>
    </row>
    <row r="975" spans="2:4" ht="13.5" customHeight="1">
      <c r="B975" s="64"/>
      <c r="D975" s="64"/>
    </row>
    <row r="976" spans="2:4" ht="13.5" customHeight="1">
      <c r="B976" s="64"/>
      <c r="D976" s="64"/>
    </row>
    <row r="977" spans="2:4" ht="13.5" customHeight="1">
      <c r="B977" s="64"/>
      <c r="D977" s="64"/>
    </row>
    <row r="978" spans="2:4" ht="13.5" customHeight="1">
      <c r="B978" s="64"/>
      <c r="D978" s="64"/>
    </row>
    <row r="979" spans="2:4" ht="13.5" customHeight="1">
      <c r="B979" s="64"/>
      <c r="D979" s="64"/>
    </row>
    <row r="980" spans="2:4" ht="13.5" customHeight="1">
      <c r="B980" s="64"/>
      <c r="D980" s="64"/>
    </row>
    <row r="981" spans="2:4" ht="13.5" customHeight="1">
      <c r="B981" s="64"/>
      <c r="D981" s="64"/>
    </row>
    <row r="982" spans="2:4" ht="13.5" customHeight="1">
      <c r="B982" s="64"/>
      <c r="D982" s="64"/>
    </row>
    <row r="983" spans="2:4" ht="13.5" customHeight="1">
      <c r="B983" s="64"/>
      <c r="D983" s="64"/>
    </row>
    <row r="984" spans="2:4" ht="13.5" customHeight="1">
      <c r="B984" s="64"/>
      <c r="D984" s="64"/>
    </row>
    <row r="985" spans="2:4" ht="13.5" customHeight="1">
      <c r="B985" s="64"/>
      <c r="D985" s="64"/>
    </row>
    <row r="986" spans="2:4" ht="13.5" customHeight="1">
      <c r="B986" s="64"/>
      <c r="D986" s="64"/>
    </row>
    <row r="987" spans="2:4" ht="13.5" customHeight="1">
      <c r="B987" s="64"/>
      <c r="D987" s="64"/>
    </row>
    <row r="988" spans="2:4" ht="13.5" customHeight="1">
      <c r="B988" s="64"/>
      <c r="D988" s="64"/>
    </row>
    <row r="989" spans="2:4" ht="13.5" customHeight="1">
      <c r="B989" s="64"/>
      <c r="D989" s="64"/>
    </row>
    <row r="990" spans="2:4" ht="13.5" customHeight="1">
      <c r="B990" s="64"/>
      <c r="D990" s="64"/>
    </row>
    <row r="991" spans="2:4" ht="13.5" customHeight="1">
      <c r="B991" s="64"/>
      <c r="D991" s="64"/>
    </row>
    <row r="992" spans="2:4" ht="13.5" customHeight="1">
      <c r="B992" s="64"/>
      <c r="D992" s="64"/>
    </row>
    <row r="993" spans="2:4" ht="13.5" customHeight="1">
      <c r="B993" s="64"/>
      <c r="D993" s="64"/>
    </row>
    <row r="994" spans="2:4" ht="13.5" customHeight="1">
      <c r="B994" s="64"/>
      <c r="D994" s="64"/>
    </row>
    <row r="995" spans="2:4" ht="13.5" customHeight="1">
      <c r="B995" s="64"/>
      <c r="D995" s="64"/>
    </row>
    <row r="996" spans="2:4" ht="13.5" customHeight="1">
      <c r="B996" s="64"/>
      <c r="D996" s="64"/>
    </row>
  </sheetData>
  <autoFilter ref="B2:E2" xr:uid="{00000000-0001-0000-0100-000000000000}">
    <sortState xmlns:xlrd2="http://schemas.microsoft.com/office/spreadsheetml/2017/richdata2" ref="B3:E33">
      <sortCondition ref="E2"/>
    </sortState>
  </autoFilter>
  <hyperlinks>
    <hyperlink ref="B19" r:id="rId1" xr:uid="{00000000-0004-0000-0100-000000000000}"/>
    <hyperlink ref="B3" r:id="rId2" xr:uid="{00000000-0004-0000-0100-000001000000}"/>
    <hyperlink ref="B20" r:id="rId3" xr:uid="{00000000-0004-0000-0100-000002000000}"/>
    <hyperlink ref="B4" r:id="rId4" xr:uid="{00000000-0004-0000-0100-000003000000}"/>
    <hyperlink ref="B5" r:id="rId5" xr:uid="{00000000-0004-0000-0100-000004000000}"/>
    <hyperlink ref="B21" r:id="rId6" xr:uid="{00000000-0004-0000-0100-000005000000}"/>
    <hyperlink ref="B6" r:id="rId7" xr:uid="{00000000-0004-0000-0100-000006000000}"/>
    <hyperlink ref="B7" r:id="rId8" xr:uid="{00000000-0004-0000-0100-000007000000}"/>
    <hyperlink ref="B23" r:id="rId9" xr:uid="{00000000-0004-0000-0100-000008000000}"/>
    <hyperlink ref="B8" r:id="rId10" xr:uid="{00000000-0004-0000-0100-000009000000}"/>
    <hyperlink ref="B9" r:id="rId11" display="https://uspdigital.usp.br/jupiterweb/obterDisciplina?sgldis=0323150&amp;codcur=3032&amp;codhab=5080" xr:uid="{00000000-0004-0000-0100-00000A000000}"/>
    <hyperlink ref="B24" r:id="rId12" xr:uid="{00000000-0004-0000-0100-00000B000000}"/>
    <hyperlink ref="B25" r:id="rId13" xr:uid="{00000000-0004-0000-0100-00000C000000}"/>
    <hyperlink ref="B10" r:id="rId14" xr:uid="{00000000-0004-0000-0100-00000D000000}"/>
    <hyperlink ref="B11" r:id="rId15" xr:uid="{00000000-0004-0000-0100-00000E000000}"/>
    <hyperlink ref="B26" r:id="rId16" xr:uid="{00000000-0004-0000-0100-00000F000000}"/>
    <hyperlink ref="B12" r:id="rId17" xr:uid="{00000000-0004-0000-0100-000010000000}"/>
    <hyperlink ref="B27" r:id="rId18" xr:uid="{00000000-0004-0000-0100-000012000000}"/>
    <hyperlink ref="B13" r:id="rId19" xr:uid="{00000000-0004-0000-0100-000013000000}"/>
    <hyperlink ref="B29" r:id="rId20" xr:uid="{00000000-0004-0000-0100-000014000000}"/>
    <hyperlink ref="B14" r:id="rId21" xr:uid="{00000000-0004-0000-0100-000015000000}"/>
    <hyperlink ref="B30" r:id="rId22" xr:uid="{00000000-0004-0000-0100-000016000000}"/>
    <hyperlink ref="B15" r:id="rId23" xr:uid="{00000000-0004-0000-0100-000017000000}"/>
    <hyperlink ref="B31" r:id="rId24" xr:uid="{00000000-0004-0000-0100-000018000000}"/>
    <hyperlink ref="B16" r:id="rId25" xr:uid="{00000000-0004-0000-0100-000019000000}"/>
    <hyperlink ref="B17" r:id="rId26" xr:uid="{00000000-0004-0000-0100-00001A000000}"/>
    <hyperlink ref="B32" r:id="rId27" xr:uid="{00000000-0004-0000-0100-00001B000000}"/>
    <hyperlink ref="B18" r:id="rId28" xr:uid="{00000000-0004-0000-0100-00001C000000}"/>
    <hyperlink ref="B33" r:id="rId29" xr:uid="{00000000-0004-0000-0100-00001D000000}"/>
    <hyperlink ref="B28" r:id="rId30" xr:uid="{85ABB021-9D73-4ECA-86E6-754864737C25}"/>
    <hyperlink ref="B22" r:id="rId31" xr:uid="{DC5CBF13-A91B-4713-8BD6-9FAA7E15A165}"/>
  </hyperlinks>
  <pageMargins left="0.7" right="0.7" top="0.75" bottom="0.75" header="0" footer="0"/>
  <pageSetup paperSize="9" orientation="landscape" r:id="rId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Eletronica_Sistemas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Eduardo Guerlando</dc:creator>
  <cp:lastModifiedBy>Gustavo Rehder</cp:lastModifiedBy>
  <cp:lastPrinted>2025-09-01T16:14:08Z</cp:lastPrinted>
  <dcterms:created xsi:type="dcterms:W3CDTF">2013-04-22T18:32:28Z</dcterms:created>
  <dcterms:modified xsi:type="dcterms:W3CDTF">2026-03-17T00:57:47Z</dcterms:modified>
</cp:coreProperties>
</file>